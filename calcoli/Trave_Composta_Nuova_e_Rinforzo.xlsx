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0_LEGGIMI" sheetId="1" state="visible" r:id="rId3"/>
    <sheet name="01_DATI_GENERALI" sheetId="2" state="visible" r:id="rId4"/>
    <sheet name="02_PROFILO_ACCIAIO" sheetId="3" state="visible" r:id="rId5"/>
    <sheet name="02A_SOLETTA_LAMIERA" sheetId="4" state="visible" r:id="rId6"/>
    <sheet name="02B_TRAVE_CA_ESISTENTE" sheetId="5" state="visible" r:id="rId7"/>
    <sheet name="03_SEZIONE_COMPOSTA" sheetId="6" state="visible" r:id="rId8"/>
    <sheet name="04_VERIFICHE_TRAVE" sheetId="7" state="visible" r:id="rId9"/>
    <sheet name="05A_PIOLI" sheetId="8" state="visible" r:id="rId10"/>
    <sheet name="05B_INGHISAGGI_TRAVE" sheetId="9" state="visible" r:id="rId11"/>
    <sheet name="06_NODO_PILASTRO" sheetId="10" state="visible" r:id="rId12"/>
    <sheet name="07_RIEPILOGO" sheetId="11" state="visible" r:id="rId13"/>
    <sheet name="DB" sheetId="12" state="visible" r:id="rId14"/>
  </sheets>
  <definedNames>
    <definedName function="false" hidden="false" name="alf_cc" vbProcedure="false">01_DATI_GENERALI!$C$91</definedName>
    <definedName function="false" hidden="false" name="an_ab" vbProcedure="false">05B_INGHISAGGI_TRAVE!$C$65</definedName>
    <definedName function="false" hidden="false" name="an_am" vbProcedure="false">05B_INGHISAGGI_TRAVE!$C$25</definedName>
    <definedName function="false" hidden="false" name="an_as" vbProcedure="false">05B_INGHISAGGI_TRAVE!$C$53</definedName>
    <definedName function="false" hidden="false" name="an_c" vbProcedure="false">05B_INGHISAGGI_TRAVE!$C$36</definedName>
    <definedName function="false" hidden="false" name="an_cl" vbProcedure="false">05B_INGHISAGGI_TRAVE!$C$13</definedName>
    <definedName function="false" hidden="false" name="an_cmin" vbProcedure="false">05B_INGHISAGGI_TRAVE!$C$22</definedName>
    <definedName function="false" hidden="false" name="an_cr" vbProcedure="false">05B_INGHISAGGI_TRAVE!$C$19</definedName>
    <definedName function="false" hidden="false" name="an_crit" vbProcedure="false">05B_INGHISAGGI_TRAVE!$C$8</definedName>
    <definedName function="false" hidden="false" name="an_d" vbProcedure="false">05B_INGHISAGGI_TRAVE!$C$52</definedName>
    <definedName function="false" hidden="false" name="an_d0" vbProcedure="false">05B_INGHISAGGI_TRAVE!$C$24</definedName>
    <definedName function="false" hidden="false" name="an_e2" vbProcedure="false">05B_INGHISAGGI_TRAVE!$C$37</definedName>
    <definedName function="false" hidden="false" name="an_ee" vbProcedure="false">05B_INGHISAGGI_TRAVE!$C$108</definedName>
    <definedName function="false" hidden="false" name="an_eic" vbProcedure="false">05B_INGHISAGGI_TRAVE!$C$107</definedName>
    <definedName function="false" hidden="false" name="an_eis" vbProcedure="false">05B_INGHISAGGI_TRAVE!$C$105</definedName>
    <definedName function="false" hidden="false" name="an_en" vbProcedure="false">05B_INGHISAGGI_TRAVE!$C$103</definedName>
    <definedName function="false" hidden="false" name="an_et" vbProcedure="false">05B_INGHISAGGI_TRAVE!$C$30</definedName>
    <definedName function="false" hidden="false" name="an_eta" vbProcedure="false">05B_INGHISAGGI_TRAVE!$C$98</definedName>
    <definedName function="false" hidden="false" name="an_ev" vbProcedure="false">05B_INGHISAGGI_TRAVE!$C$101</definedName>
    <definedName function="false" hidden="false" name="an_f" vbProcedure="false">05B_INGHISAGGI_TRAVE!$C$43</definedName>
    <definedName function="false" hidden="false" name="an_fb" vbProcedure="false">05B_INGHISAGGI_TRAVE!$C$66</definedName>
    <definedName function="false" hidden="false" name="an_fel" vbProcedure="false">05B_INGHISAGGI_TRAVE!$C$42</definedName>
    <definedName function="false" hidden="false" name="an_fu" vbProcedure="false">05B_INGHISAGGI_TRAVE!$C$54</definedName>
    <definedName function="false" hidden="false" name="an_fy" vbProcedure="false">05B_INGHISAGGI_TRAVE!$C$55</definedName>
    <definedName function="false" hidden="false" name="an_g1" vbProcedure="false">05B_INGHISAGGI_TRAVE!$C$112</definedName>
    <definedName function="false" hidden="false" name="an_g2" vbProcedure="false">05B_INGHISAGGI_TRAVE!$C$113</definedName>
    <definedName function="false" hidden="false" name="an_g3" vbProcedure="false">05B_INGHISAGGI_TRAVE!$C$114</definedName>
    <definedName function="false" hidden="false" name="an_g4" vbProcedure="false">05B_INGHISAGGI_TRAVE!$C$115</definedName>
    <definedName function="false" hidden="false" name="an_g5" vbProcedure="false">05B_INGHISAGGI_TRAVE!$C$116</definedName>
    <definedName function="false" hidden="false" name="an_g6" vbProcedure="false">05B_INGHISAGGI_TRAVE!$C$117</definedName>
    <definedName function="false" hidden="false" name="an_g7" vbProcedure="false">05B_INGHISAGGI_TRAVE!$C$118</definedName>
    <definedName function="false" hidden="false" name="an_g8" vbProcedure="false">05B_INGHISAGGI_TRAVE!$C$119</definedName>
    <definedName function="false" hidden="false" name="an_gin" vbProcedure="false">05B_INGHISAGGI_TRAVE!$C$17</definedName>
    <definedName function="false" hidden="false" name="an_gmc" vbProcedure="false">05B_INGHISAGGI_TRAVE!$C$72</definedName>
    <definedName function="false" hidden="false" name="an_gmn" vbProcedure="false">05B_INGHISAGGI_TRAVE!$C$56</definedName>
    <definedName function="false" hidden="false" name="an_gmv" vbProcedure="false">05B_INGHISAGGI_TRAVE!$C$57</definedName>
    <definedName function="false" hidden="false" name="an_hef" vbProcedure="false">05B_INGHISAGGI_TRAVE!$C$14</definedName>
    <definedName function="false" hidden="false" name="an_ic" vbProcedure="false">05B_INGHISAGGI_TRAVE!$C$106</definedName>
    <definedName function="false" hidden="false" name="an_is" vbProcedure="false">05B_INGHISAGGI_TRAVE!$C$104</definedName>
    <definedName function="false" hidden="false" name="an_k1" vbProcedure="false">05B_INGHISAGGI_TRAVE!$C$70</definedName>
    <definedName function="false" hidden="false" name="an_k8" vbProcedure="false">05B_INGHISAGGI_TRAVE!$C$18</definedName>
    <definedName function="false" hidden="false" name="an_k9" vbProcedure="false">05B_INGHISAGGI_TRAVE!$C$71</definedName>
    <definedName function="false" hidden="false" name="an_kb" vbProcedure="false">05B_INGHISAGGI_TRAVE!$C$64</definedName>
    <definedName function="false" hidden="false" name="an_kn" vbProcedure="false">05B_INGHISAGGI_TRAVE!$C$32</definedName>
    <definedName function="false" hidden="false" name="an_lev" vbProcedure="false">05B_INGHISAGGI_TRAVE!$C$59</definedName>
    <definedName function="false" hidden="false" name="an_lf" vbProcedure="false">05B_INGHISAGGI_TRAVE!$C$86</definedName>
    <definedName function="false" hidden="false" name="an_m" vbProcedure="false">05B_INGHISAGGI_TRAVE!$C$12</definedName>
    <definedName function="false" hidden="false" name="an_mrk" vbProcedure="false">05B_INGHISAGGI_TRAVE!$C$61</definedName>
    <definedName function="false" hidden="false" name="an_ncz" vbProcedure="false">05B_INGHISAGGI_TRAVE!$C$74</definedName>
    <definedName function="false" hidden="false" name="an_ned" vbProcedure="false">05B_INGHISAGGI_TRAVE!$C$48</definedName>
    <definedName function="false" hidden="false" name="an_nh" vbProcedure="false">05B_INGHISAGGI_TRAVE!$C$38</definedName>
    <definedName function="false" hidden="false" name="an_npz" vbProcedure="false">05B_INGHISAGGI_TRAVE!$C$76</definedName>
    <definedName function="false" hidden="false" name="an_nr" vbProcedure="false">05B_INGHISAGGI_TRAVE!$C$29</definedName>
    <definedName function="false" hidden="false" name="an_nrc" vbProcedure="false">05B_INGHISAGGI_TRAVE!$C$81</definedName>
    <definedName function="false" hidden="false" name="an_nrd" vbProcedure="false">05B_INGHISAGGI_TRAVE!$C$97</definedName>
    <definedName function="false" hidden="false" name="an_nrkc" vbProcedure="false">05B_INGHISAGGI_TRAVE!$C$80</definedName>
    <definedName function="false" hidden="false" name="an_nrkp" vbProcedure="false">05B_INGHISAGGI_TRAVE!$C$84</definedName>
    <definedName function="false" hidden="false" name="an_nrp" vbProcedure="false">05B_INGHISAGGI_TRAVE!$C$85</definedName>
    <definedName function="false" hidden="false" name="an_nrs" vbProcedure="false">05B_INGHISAGGI_TRAVE!$C$58</definedName>
    <definedName function="false" hidden="false" name="an_phv" vbProcedure="false">05B_INGHISAGGI_TRAVE!$C$89</definedName>
    <definedName function="false" hidden="false" name="an_prn" vbProcedure="false">05B_INGHISAGGI_TRAVE!$C$73</definedName>
    <definedName function="false" hidden="false" name="an_prv" vbProcedure="false">05B_INGHISAGGI_TRAVE!$C$20</definedName>
    <definedName function="false" hidden="false" name="an_psn" vbProcedure="false">05B_INGHISAGGI_TRAVE!$C$79</definedName>
    <definedName function="false" hidden="false" name="an_psp" vbProcedure="false">05B_INGHISAGGI_TRAVE!$C$83</definedName>
    <definedName function="false" hidden="false" name="an_psus" vbProcedure="false">05B_INGHISAGGI_TRAVE!$C$16</definedName>
    <definedName function="false" hidden="false" name="an_rcn" vbProcedure="false">05B_INGHISAGGI_TRAVE!$C$78</definedName>
    <definedName function="false" hidden="false" name="an_rcv" vbProcedure="false">05B_INGHISAGGI_TRAVE!$C$88</definedName>
    <definedName function="false" hidden="false" name="an_rfn" vbProcedure="false">05B_INGHISAGGI_TRAVE!$C$21</definedName>
    <definedName function="false" hidden="false" name="an_rn" vbProcedure="false">05B_INGHISAGGI_TRAVE!$C$102</definedName>
    <definedName function="false" hidden="false" name="an_rpn" vbProcedure="false">05B_INGHISAGGI_TRAVE!$C$82</definedName>
    <definedName function="false" hidden="false" name="an_rv" vbProcedure="false">05B_INGHISAGGI_TRAVE!$C$100</definedName>
    <definedName function="false" hidden="false" name="an_s" vbProcedure="false">05B_INGHISAGGI_TRAVE!$C$31</definedName>
    <definedName function="false" hidden="false" name="an_scp" vbProcedure="false">05B_INGHISAGGI_TRAVE!$C$77</definedName>
    <definedName function="false" hidden="false" name="an_scr" vbProcedure="false">05B_INGHISAGGI_TRAVE!$C$75</definedName>
    <definedName function="false" hidden="false" name="an_smax" vbProcedure="false">05B_INGHISAGGI_TRAVE!$C$99</definedName>
    <definedName function="false" hidden="false" name="an_smin" vbProcedure="false">05B_INGHISAGGI_TRAVE!$C$23</definedName>
    <definedName function="false" hidden="false" name="an_tau" vbProcedure="false">05B_INGHISAGGI_TRAVE!$C$15</definedName>
    <definedName function="false" hidden="false" name="an_v" vbProcedure="false">05B_INGHISAGGI_TRAVE!$C$44</definedName>
    <definedName function="false" hidden="false" name="an_vcz" vbProcedure="false">05B_INGHISAGGI_TRAVE!$C$87</definedName>
    <definedName function="false" hidden="false" name="an_ved" vbProcedure="false">05B_INGHISAGGI_TRAVE!$C$47</definedName>
    <definedName function="false" hidden="false" name="an_vg" vbProcedure="false">05B_INGHISAGGI_TRAVE!$C$45</definedName>
    <definedName function="false" hidden="false" name="an_vl" vbProcedure="false">05B_INGHISAGGI_TRAVE!$C$46</definedName>
    <definedName function="false" hidden="false" name="an_vmode" vbProcedure="false">05B_INGHISAGGI_TRAVE!$C$96</definedName>
    <definedName function="false" hidden="false" name="an_vrc" vbProcedure="false">05B_INGHISAGGI_TRAVE!$C$90</definedName>
    <definedName function="false" hidden="false" name="an_vrcp" vbProcedure="false">05B_INGHISAGGI_TRAVE!$C$91</definedName>
    <definedName function="false" hidden="false" name="an_vrd" vbProcedure="false">05B_INGHISAGGI_TRAVE!$C$95</definedName>
    <definedName function="false" hidden="false" name="an_vrs" vbProcedure="false">05B_INGHISAGGI_TRAVE!$C$63</definedName>
    <definedName function="false" hidden="false" name="an_vsm" vbProcedure="false">05B_INGHISAGGI_TRAVE!$C$62</definedName>
    <definedName function="false" hidden="false" name="an_vso" vbProcedure="false">05B_INGHISAGGI_TRAVE!$C$60</definedName>
    <definedName function="false" hidden="false" name="a_area" vbProcedure="false">02_PROFILO_ACCIAIO!$C$30</definedName>
    <definedName function="false" hidden="false" name="a_av" vbProcedure="false">02_PROFILO_ACCIAIO!$C$54</definedName>
    <definedName function="false" hidden="false" name="a_bi" vbProcedure="false">02_PROFILO_ACCIAIO!$C$12</definedName>
    <definedName function="false" hidden="false" name="a_bs" vbProcedure="false">02_PROFILO_ACCIAIO!$C$10</definedName>
    <definedName function="false" hidden="false" name="a_cf" vbProcedure="false">02_PROFILO_ACCIAIO!$C$58</definedName>
    <definedName function="false" hidden="false" name="a_clf" vbProcedure="false">02_PROFILO_ACCIAIO!$C$59</definedName>
    <definedName function="false" hidden="false" name="a_clw" vbProcedure="false">02_PROFILO_ACCIAIO!$C$60</definedName>
    <definedName function="false" hidden="false" name="a_fw" vbProcedure="false">02_PROFILO_ACCIAIO!$C$17</definedName>
    <definedName function="false" hidden="false" name="a_h" vbProcedure="false">02_PROFILO_ACCIAIO!$C$9</definedName>
    <definedName function="false" hidden="false" name="a_hw" vbProcedure="false">02_PROFILO_ACCIAIO!$C$16</definedName>
    <definedName function="false" hidden="false" name="a_hwok" vbProcedure="false">02_PROFILO_ACCIAIO!$C$57</definedName>
    <definedName function="false" hidden="false" name="a_hwt" vbProcedure="false">02_PROFILO_ACCIAIO!$C$56</definedName>
    <definedName function="false" hidden="false" name="a_iy" vbProcedure="false">02_PROFILO_ACCIAIO!$C$32</definedName>
    <definedName function="false" hidden="false" name="a_mel" vbProcedure="false">02_PROFILO_ACCIAIO!$C$53</definedName>
    <definedName function="false" hidden="false" name="a_mpl" vbProcedure="false">02_PROFILO_ACCIAIO!$C$51</definedName>
    <definedName function="false" hidden="false" name="a_nome" vbProcedure="false">02_PROFILO_ACCIAIO!$C$8</definedName>
    <definedName function="false" hidden="false" name="a_npl" vbProcedure="false">02_PROFILO_ACCIAIO!$C$50</definedName>
    <definedName function="false" hidden="false" name="a_peso" vbProcedure="false">02_PROFILO_ACCIAIO!$C$35</definedName>
    <definedName function="false" hidden="false" name="a_r" vbProcedure="false">02_PROFILO_ACCIAIO!$C$15</definedName>
    <definedName function="false" hidden="false" name="a_ti" vbProcedure="false">02_PROFILO_ACCIAIO!$C$13</definedName>
    <definedName function="false" hidden="false" name="a_ts" vbProcedure="false">02_PROFILO_ACCIAIO!$C$11</definedName>
    <definedName function="false" hidden="false" name="a_tw" vbProcedure="false">02_PROFILO_ACCIAIO!$C$14</definedName>
    <definedName function="false" hidden="false" name="a_vpl" vbProcedure="false">02_PROFILO_ACCIAIO!$C$55</definedName>
    <definedName function="false" hidden="false" name="a_wi" vbProcedure="false">02_PROFILO_ACCIAIO!$C$33</definedName>
    <definedName function="false" hidden="false" name="a_wpl" vbProcedure="false">02_PROFILO_ACCIAIO!$C$52</definedName>
    <definedName function="false" hidden="false" name="a_ws" vbProcedure="false">02_PROFILO_ACCIAIO!$C$34</definedName>
    <definedName function="false" hidden="false" name="a_xpl" vbProcedure="false">02_PROFILO_ACCIAIO!$C$49</definedName>
    <definedName function="false" hidden="false" name="a_yg" vbProcedure="false">02_PROFILO_ACCIAIO!$C$31</definedName>
    <definedName function="false" hidden="false" name="cs_alfa" vbProcedure="false">03_SEZIONE_COMPOSTA!$C$42</definedName>
    <definedName function="false" hidden="false" name="cs_aone" vbProcedure="false">03_SEZIONE_COMPOSTA!$C$51</definedName>
    <definedName function="false" hidden="false" name="cs_atwo" vbProcedure="false">03_SEZIONE_COMPOSTA!$C$52</definedName>
    <definedName function="false" hidden="false" name="cs_bone" vbProcedure="false">03_SEZIONE_COMPOSTA!$C$8</definedName>
    <definedName function="false" hidden="false" name="cs_btwo" vbProcedure="false">03_SEZIONE_COMPOSTA!$C$10</definedName>
    <definedName function="false" hidden="false" name="cs_cw" vbProcedure="false">03_SEZIONE_COMPOSTA!$C$41</definedName>
    <definedName function="false" hidden="false" name="cs_fcl" vbProcedure="false">03_SEZIONE_COMPOSTA!$C$45</definedName>
    <definedName function="false" hidden="false" name="cs_gap" vbProcedure="false">03_SEZIONE_COMPOSTA!$C$12</definedName>
    <definedName function="false" hidden="false" name="cs_htot" vbProcedure="false">03_SEZIONE_COMPOSTA!$C$14</definedName>
    <definedName function="false" hidden="false" name="cs_mpl" vbProcedure="false">03_SEZIONE_COMPOSTA!$C$36</definedName>
    <definedName function="false" hidden="false" name="cs_ncf" vbProcedure="false">03_SEZIONE_COMPOSTA!$C$34</definedName>
    <definedName function="false" hidden="false" name="cs_plok" vbProcedure="false">03_SEZIONE_COMPOSTA!$C$46</definedName>
    <definedName function="false" hidden="false" name="cs_ratio" vbProcedure="false">03_SEZIONE_COMPOSTA!$C$37</definedName>
    <definedName function="false" hidden="false" name="cs_rc" vbProcedure="false">03_SEZIONE_COMPOSTA!$C$35</definedName>
    <definedName function="false" hidden="false" name="cs_tone" vbProcedure="false">03_SEZIONE_COMPOSTA!$C$9</definedName>
    <definedName function="false" hidden="false" name="cs_ttwo" vbProcedure="false">03_SEZIONE_COMPOSTA!$C$11</definedName>
    <definedName function="false" hidden="false" name="cs_wcl" vbProcedure="false">03_SEZIONE_COMPOSTA!$C$44</definedName>
    <definedName function="false" hidden="false" name="cs_where" vbProcedure="false">03_SEZIONE_COMPOSTA!$C$33</definedName>
    <definedName function="false" hidden="false" name="cs_wlim" vbProcedure="false">03_SEZIONE_COMPOSTA!$C$43</definedName>
    <definedName function="false" hidden="false" name="cs_xpl" vbProcedure="false">03_SEZIONE_COMPOSTA!$C$32</definedName>
    <definedName function="false" hidden="false" name="cs_ys" vbProcedure="false">03_SEZIONE_COMPOSTA!$C$53</definedName>
    <definedName function="false" hidden="false" name="cs_yst" vbProcedure="false">03_SEZIONE_COMPOSTA!$C$13</definedName>
    <definedName function="false" hidden="false" name="c_gone" vbProcedure="false">01_DATI_GENERALI!$C$25</definedName>
    <definedName function="false" hidden="false" name="c_gtwo" vbProcedure="false">01_DATI_GENERALI!$C$26</definedName>
    <definedName function="false" hidden="false" name="dk_b" vbProcedure="false">02A_SOLETTA_LAMIERA!$C$16</definedName>
    <definedName function="false" hidden="false" name="dk_hp" vbProcedure="false">02A_SOLETTA_LAMIERA!$C$15</definedName>
    <definedName function="false" hidden="false" name="dk_or" vbProcedure="false">02A_SOLETTA_LAMIERA!$C$13</definedName>
    <definedName function="false" hidden="false" name="dk_t" vbProcedure="false">02A_SOLETTA_LAMIERA!$C$17</definedName>
    <definedName function="false" hidden="false" name="dk_thr" vbProcedure="false">02A_SOLETTA_LAMIERA!$C$18</definedName>
    <definedName function="false" hidden="false" name="ecm_c" vbProcedure="false">01_DATI_GENERALI!$C$89</definedName>
    <definedName function="false" hidden="false" name="ell_bb" vbProcedure="false">03_SEZIONE_COMPOSTA!$C$74</definedName>
    <definedName function="false" hidden="false" name="ell_hone" vbProcedure="false">03_SEZIONE_COMPOSTA!$C$78</definedName>
    <definedName function="false" hidden="false" name="ell_htwo" vbProcedure="false">03_SEZIONE_COMPOSTA!$C$79</definedName>
    <definedName function="false" hidden="false" name="ell_j" vbProcedure="false">03_SEZIONE_COMPOSTA!$C$80</definedName>
    <definedName function="false" hidden="false" name="ell_ratio" vbProcedure="false">03_SEZIONE_COMPOSTA!$C$83</definedName>
    <definedName function="false" hidden="false" name="ell_sint" vbProcedure="false">03_SEZIONE_COMPOSTA!$C$81</definedName>
    <definedName function="false" hidden="false" name="ell_sz" vbProcedure="false">03_SEZIONE_COMPOSTA!$C$73</definedName>
    <definedName function="false" hidden="false" name="ell_u" vbProcedure="false">03_SEZIONE_COMPOSTA!$C$75</definedName>
    <definedName function="false" hidden="false" name="ell_wi" vbProcedure="false">03_SEZIONE_COMPOSTA!$C$82</definedName>
    <definedName function="false" hidden="false" name="ell_x" vbProcedure="false">03_SEZIONE_COMPOSTA!$C$77</definedName>
    <definedName function="false" hidden="false" name="ell_xa" vbProcedure="false">03_SEZIONE_COMPOSTA!$C$72</definedName>
    <definedName function="false" hidden="false" name="ell_xc" vbProcedure="false">03_SEZIONE_COMPOSTA!$C$76</definedName>
    <definedName function="false" hidden="false" name="els_bb" vbProcedure="false">03_SEZIONE_COMPOSTA!$C$59</definedName>
    <definedName function="false" hidden="false" name="els_hone" vbProcedure="false">03_SEZIONE_COMPOSTA!$C$63</definedName>
    <definedName function="false" hidden="false" name="els_htwo" vbProcedure="false">03_SEZIONE_COMPOSTA!$C$64</definedName>
    <definedName function="false" hidden="false" name="els_j" vbProcedure="false">03_SEZIONE_COMPOSTA!$C$65</definedName>
    <definedName function="false" hidden="false" name="els_ratio" vbProcedure="false">03_SEZIONE_COMPOSTA!$C$68</definedName>
    <definedName function="false" hidden="false" name="els_sint" vbProcedure="false">03_SEZIONE_COMPOSTA!$C$66</definedName>
    <definedName function="false" hidden="false" name="els_sz" vbProcedure="false">03_SEZIONE_COMPOSTA!$C$58</definedName>
    <definedName function="false" hidden="false" name="els_u" vbProcedure="false">03_SEZIONE_COMPOSTA!$C$60</definedName>
    <definedName function="false" hidden="false" name="els_wi" vbProcedure="false">03_SEZIONE_COMPOSTA!$C$67</definedName>
    <definedName function="false" hidden="false" name="els_x" vbProcedure="false">03_SEZIONE_COMPOSTA!$C$62</definedName>
    <definedName function="false" hidden="false" name="els_xa" vbProcedure="false">03_SEZIONE_COMPOSTA!$C$57</definedName>
    <definedName function="false" hidden="false" name="els_xc" vbProcedure="false">03_SEZIONE_COMPOSTA!$C$61</definedName>
    <definedName function="false" hidden="false" name="eps_a" vbProcedure="false">01_DATI_GENERALI!$C$84</definedName>
    <definedName function="false" hidden="false" name="ex_beff" vbProcedure="false">02B_TRAVE_CA_ESISTENTE!$C$13</definedName>
    <definedName function="false" hidden="false" name="ex_bl" vbProcedure="false">02B_TRAVE_CA_ESISTENTE!$C$11</definedName>
    <definedName function="false" hidden="false" name="ex_br" vbProcedure="false">02B_TRAVE_CA_ESISTENTE!$C$12</definedName>
    <definedName function="false" hidden="false" name="ex_bw" vbProcedure="false">02B_TRAVE_CA_ESISTENTE!$C$8</definedName>
    <definedName function="false" hidden="false" name="ex_chk" vbProcedure="false">02B_TRAVE_CA_ESISTENTE!$C$25</definedName>
    <definedName function="false" hidden="false" name="ex_fc" vbProcedure="false">02B_TRAVE_CA_ESISTENTE!$C$21</definedName>
    <definedName function="false" hidden="false" name="ex_fceq" vbProcedure="false">02B_TRAVE_CA_ESISTENTE!$C$22</definedName>
    <definedName function="false" hidden="false" name="ex_fcm" vbProcedure="false">02B_TRAVE_CA_ESISTENTE!$C$19</definedName>
    <definedName function="false" hidden="false" name="ex_g2pre" vbProcedure="false">02B_TRAVE_CA_ESISTENTE!$C$23</definedName>
    <definedName function="false" hidden="false" name="ex_gap" vbProcedure="false">02B_TRAVE_CA_ESISTENTE!$C$14</definedName>
    <definedName function="false" hidden="false" name="ex_grok" vbProcedure="false">02B_TRAVE_CA_ESISTENTE!$C$15</definedName>
    <definedName function="false" hidden="false" name="ex_h" vbProcedure="false">02B_TRAVE_CA_ESISTENTE!$C$9</definedName>
    <definedName function="false" hidden="false" name="ex_hf" vbProcedure="false">02B_TRAVE_CA_ESISTENTE!$C$10</definedName>
    <definedName function="false" hidden="false" name="ex_lc" vbProcedure="false">02B_TRAVE_CA_ESISTENTE!$C$20</definedName>
    <definedName function="false" hidden="false" name="ex_load" vbProcedure="false">02B_TRAVE_CA_ESISTENTE!$C$24</definedName>
    <definedName function="false" hidden="false" name="e_acc" vbProcedure="false">01_DATI_GENERALI!$C$82</definedName>
    <definedName function="false" hidden="false" name="fcd_c" vbProcedure="false">01_DATI_GENERALI!$C$92</definedName>
    <definedName function="false" hidden="false" name="fck_c" vbProcedure="false">01_DATI_GENERALI!$C$88</definedName>
    <definedName function="false" hidden="false" name="ftk_a" vbProcedure="false">01_DATI_GENERALI!$C$79</definedName>
    <definedName function="false" hidden="false" name="fyd_a" vbProcedure="false">01_DATI_GENERALI!$C$83</definedName>
    <definedName function="false" hidden="false" name="fyd_s" vbProcedure="false">01_DATI_GENERALI!$C$101</definedName>
    <definedName function="false" hidden="false" name="fyk_a" vbProcedure="false">01_DATI_GENERALI!$C$78</definedName>
    <definedName function="false" hidden="false" name="fyk_s" vbProcedure="false">01_DATI_GENERALI!$C$99</definedName>
    <definedName function="false" hidden="false" name="gam_c" vbProcedure="false">01_DATI_GENERALI!$C$90</definedName>
    <definedName function="false" hidden="false" name="gam_gone" vbProcedure="false">01_DATI_GENERALI!$C$40</definedName>
    <definedName function="false" hidden="false" name="gam_gtwo" vbProcedure="false">01_DATI_GENERALI!$C$41</definedName>
    <definedName function="false" hidden="false" name="gam_mo" vbProcedure="false">01_DATI_GENERALI!$C$80</definedName>
    <definedName function="false" hidden="false" name="gam_mt" vbProcedure="false">01_DATI_GENERALI!$C$81</definedName>
    <definedName function="false" hidden="false" name="gam_q" vbProcedure="false">01_DATI_GENERALI!$C$42</definedName>
    <definedName function="false" hidden="false" name="gam_s" vbProcedure="false">01_DATI_GENERALI!$C$100</definedName>
    <definedName function="false" hidden="false" name="gpre_k" vbProcedure="false">01_DATI_GENERALI!$C$30</definedName>
    <definedName function="false" hidden="false" name="gpre_l" vbProcedure="false">01_DATI_GENERALI!$C$31</definedName>
    <definedName function="false" hidden="false" name="gtwo_k" vbProcedure="false">01_DATI_GENERALI!$C$33</definedName>
    <definedName function="false" hidden="false" name="gtwo_l" vbProcedure="false">01_DATI_GENERALI!$C$34</definedName>
    <definedName function="false" hidden="false" name="g_acc" vbProcedure="false">01_DATI_GENERALI!$C$46</definedName>
    <definedName function="false" hidden="false" name="g_rc" vbProcedure="false">01_DATI_GENERALI!$C$47</definedName>
    <definedName function="false" hidden="false" name="inf_m" vbProcedure="false">01_DATI_GENERALI!$C$22</definedName>
    <definedName function="false" hidden="false" name="k_m" vbProcedure="false">01_DATI_GENERALI!$C$62</definedName>
    <definedName function="false" hidden="false" name="k_v" vbProcedure="false">01_DATI_GENERALI!$C$63</definedName>
    <definedName function="false" hidden="false" name="k_visc" vbProcedure="false">01_DATI_GENERALI!$C$94</definedName>
    <definedName function="false" hidden="false" name="lim_q" vbProcedure="false">01_DATI_GENERALI!$C$106</definedName>
    <definedName function="false" hidden="false" name="lim_tot" vbProcedure="false">01_DATI_GENERALI!$C$105</definedName>
    <definedName function="false" hidden="false" name="ln_gone" vbProcedure="false">01_DATI_GENERALI!$C$48</definedName>
    <definedName function="false" hidden="false" name="ln_gtwo" vbProcedure="false">01_DATI_GENERALI!$C$50</definedName>
    <definedName function="false" hidden="false" name="ln_q" vbProcedure="false">01_DATI_GENERALI!$C$51</definedName>
    <definedName function="false" hidden="false" name="ln_qc" vbProcedure="false">01_DATI_GENERALI!$C$49</definedName>
    <definedName function="false" hidden="false" name="lu_m" vbProcedure="false">01_DATI_GENERALI!$C$20</definedName>
    <definedName function="false" hidden="false" name="lu_mm" vbProcedure="false">01_DATI_GENERALI!$C$21</definedName>
    <definedName function="false" hidden="false" name="m_auto" vbProcedure="false">01_DATI_GENERALI!$C$56</definedName>
    <definedName function="false" hidden="false" name="m_comp" vbProcedure="false">01_DATI_GENERALI!$C$70</definedName>
    <definedName function="false" hidden="false" name="m_cost" vbProcedure="false">01_DATI_GENERALI!$C$72</definedName>
    <definedName function="false" hidden="false" name="m_ed" vbProcedure="false">01_DATI_GENERALI!$C$60</definedName>
    <definedName function="false" hidden="false" name="m_gone" vbProcedure="false">01_DATI_GENERALI!$C$64</definedName>
    <definedName function="false" hidden="false" name="m_gtwo" vbProcedure="false">01_DATI_GENERALI!$C$65</definedName>
    <definedName function="false" hidden="false" name="m_man" vbProcedure="false">01_DATI_GENERALI!$C$58</definedName>
    <definedName function="false" hidden="false" name="m_q" vbProcedure="false">01_DATI_GENERALI!$C$66</definedName>
    <definedName function="false" hidden="false" name="nd_ab" vbProcedure="false">06_NODO_PILASTRO!$C$75</definedName>
    <definedName function="false" hidden="false" name="nd_aca" vbProcedure="false">06_NODO_PILASTRO!$C$96</definedName>
    <definedName function="false" hidden="false" name="nd_acr" vbProcedure="false">06_NODO_PILASTRO!$C$88</definedName>
    <definedName function="false" hidden="false" name="nd_am" vbProcedure="false">06_NODO_PILASTRO!$C$43</definedName>
    <definedName function="false" hidden="false" name="nd_apa" vbProcedure="false">06_NODO_PILASTRO!$C$97</definedName>
    <definedName function="false" hidden="false" name="nd_apr" vbProcedure="false">06_NODO_PILASTRO!$C$92</definedName>
    <definedName function="false" hidden="false" name="nd_as" vbProcedure="false">06_NODO_PILASTRO!$C$63</definedName>
    <definedName function="false" hidden="false" name="nd_bp" vbProcedure="false">06_NODO_PILASTRO!$C$19</definedName>
    <definedName function="false" hidden="false" name="nd_cb" vbProcedure="false">06_NODO_PILASTRO!$C$16</definedName>
    <definedName function="false" hidden="false" name="nd_cd" vbProcedure="false">06_NODO_PILASTRO!$C$17</definedName>
    <definedName function="false" hidden="false" name="nd_cl" vbProcedure="false">06_NODO_PILASTRO!$C$31</definedName>
    <definedName function="false" hidden="false" name="nd_cmin" vbProcedure="false">06_NODO_PILASTRO!$C$40</definedName>
    <definedName function="false" hidden="false" name="nd_cr" vbProcedure="false">06_NODO_PILASTRO!$C$37</definedName>
    <definedName function="false" hidden="false" name="nd_ct" vbProcedure="false">06_NODO_PILASTRO!$C$18</definedName>
    <definedName function="false" hidden="false" name="nd_cx" vbProcedure="false">06_NODO_PILASTRO!$C$52</definedName>
    <definedName function="false" hidden="false" name="nd_d" vbProcedure="false">06_NODO_PILASTRO!$C$62</definedName>
    <definedName function="false" hidden="false" name="nd_d0" vbProcedure="false">06_NODO_PILASTRO!$C$42</definedName>
    <definedName function="false" hidden="false" name="nd_dt" vbProcedure="false">06_NODO_PILASTRO!$C$53</definedName>
    <definedName function="false" hidden="false" name="nd_e" vbProcedure="false">06_NODO_PILASTRO!$C$10</definedName>
    <definedName function="false" hidden="false" name="nd_ep" vbProcedure="false">06_NODO_PILASTRO!$C$24</definedName>
    <definedName function="false" hidden="false" name="nd_es" vbProcedure="false">06_NODO_PILASTRO!$C$119</definedName>
    <definedName function="false" hidden="false" name="nd_fb" vbProcedure="false">06_NODO_PILASTRO!$C$76</definedName>
    <definedName function="false" hidden="false" name="nd_fu" vbProcedure="false">06_NODO_PILASTRO!$C$64</definedName>
    <definedName function="false" hidden="false" name="nd_fy" vbProcedure="false">06_NODO_PILASTRO!$C$65</definedName>
    <definedName function="false" hidden="false" name="nd_g1" vbProcedure="false">06_NODO_PILASTRO!$C$123</definedName>
    <definedName function="false" hidden="false" name="nd_g2" vbProcedure="false">06_NODO_PILASTRO!$C$124</definedName>
    <definedName function="false" hidden="false" name="nd_g3" vbProcedure="false">06_NODO_PILASTRO!$C$125</definedName>
    <definedName function="false" hidden="false" name="nd_g4" vbProcedure="false">06_NODO_PILASTRO!$C$126</definedName>
    <definedName function="false" hidden="false" name="nd_g5" vbProcedure="false">06_NODO_PILASTRO!$C$127</definedName>
    <definedName function="false" hidden="false" name="nd_gap" vbProcedure="false">06_NODO_PILASTRO!$C$25</definedName>
    <definedName function="false" hidden="false" name="nd_gin" vbProcedure="false">06_NODO_PILASTRO!$C$35</definedName>
    <definedName function="false" hidden="false" name="nd_gmc" vbProcedure="false">06_NODO_PILASTRO!$C$82</definedName>
    <definedName function="false" hidden="false" name="nd_gmn" vbProcedure="false">06_NODO_PILASTRO!$C$66</definedName>
    <definedName function="false" hidden="false" name="nd_gmv" vbProcedure="false">06_NODO_PILASTRO!$C$67</definedName>
    <definedName function="false" hidden="false" name="nd_grok" vbProcedure="false">06_NODO_PILASTRO!$C$26</definedName>
    <definedName function="false" hidden="false" name="nd_hef" vbProcedure="false">06_NODO_PILASTRO!$C$32</definedName>
    <definedName function="false" hidden="false" name="nd_hp" vbProcedure="false">06_NODO_PILASTRO!$C$20</definedName>
    <definedName function="false" hidden="false" name="nd_k1" vbProcedure="false">06_NODO_PILASTRO!$C$80</definedName>
    <definedName function="false" hidden="false" name="nd_k8" vbProcedure="false">06_NODO_PILASTRO!$C$36</definedName>
    <definedName function="false" hidden="false" name="nd_k9" vbProcedure="false">06_NODO_PILASTRO!$C$81</definedName>
    <definedName function="false" hidden="false" name="nd_kb" vbProcedure="false">06_NODO_PILASTRO!$C$74</definedName>
    <definedName function="false" hidden="false" name="nd_lev" vbProcedure="false">06_NODO_PILASTRO!$C$69</definedName>
    <definedName function="false" hidden="false" name="nd_lf" vbProcedure="false">06_NODO_PILASTRO!$C$99</definedName>
    <definedName function="false" hidden="false" name="nd_m" vbProcedure="false">06_NODO_PILASTRO!$C$30</definedName>
    <definedName function="false" hidden="false" name="nd_mom" vbProcedure="false">06_NODO_PILASTRO!$C$12</definedName>
    <definedName function="false" hidden="false" name="nd_mrk" vbProcedure="false">06_NODO_PILASTRO!$C$71</definedName>
    <definedName function="false" hidden="false" name="nd_n" vbProcedure="false">06_NODO_PILASTRO!$C$11</definedName>
    <definedName function="false" hidden="false" name="nd_ncz" vbProcedure="false">06_NODO_PILASTRO!$C$84</definedName>
    <definedName function="false" hidden="false" name="nd_ned" vbProcedure="false">06_NODO_PILASTRO!$C$56</definedName>
    <definedName function="false" hidden="false" name="nd_npz" vbProcedure="false">06_NODO_PILASTRO!$C$86</definedName>
    <definedName function="false" hidden="false" name="nd_nrc" vbProcedure="false">06_NODO_PILASTRO!$C$91</definedName>
    <definedName function="false" hidden="false" name="nd_nrkc" vbProcedure="false">06_NODO_PILASTRO!$C$90</definedName>
    <definedName function="false" hidden="false" name="nd_nrkp" vbProcedure="false">06_NODO_PILASTRO!$C$94</definedName>
    <definedName function="false" hidden="false" name="nd_nrow" vbProcedure="false">06_NODO_PILASTRO!$C$58</definedName>
    <definedName function="false" hidden="false" name="nd_nrp" vbProcedure="false">06_NODO_PILASTRO!$C$95</definedName>
    <definedName function="false" hidden="false" name="nd_nrs" vbProcedure="false">06_NODO_PILASTRO!$C$68</definedName>
    <definedName function="false" hidden="false" name="nd_nt" vbProcedure="false">06_NODO_PILASTRO!$C$55</definedName>
    <definedName function="false" hidden="false" name="nd_nx" vbProcedure="false">06_NODO_PILASTRO!$C$44</definedName>
    <definedName function="false" hidden="false" name="nd_ny" vbProcedure="false">06_NODO_PILASTRO!$C$45</definedName>
    <definedName function="false" hidden="false" name="nd_pfu" vbProcedure="false">06_NODO_PILASTRO!$C$23</definedName>
    <definedName function="false" hidden="false" name="nd_pg" vbProcedure="false">06_NODO_PILASTRO!$C$22</definedName>
    <definedName function="false" hidden="false" name="nd_phv" vbProcedure="false">06_NODO_PILASTRO!$C$102</definedName>
    <definedName function="false" hidden="false" name="nd_prn" vbProcedure="false">06_NODO_PILASTRO!$C$83</definedName>
    <definedName function="false" hidden="false" name="nd_prv" vbProcedure="false">06_NODO_PILASTRO!$C$38</definedName>
    <definedName function="false" hidden="false" name="nd_psn" vbProcedure="false">06_NODO_PILASTRO!$C$89</definedName>
    <definedName function="false" hidden="false" name="nd_psp" vbProcedure="false">06_NODO_PILASTRO!$C$93</definedName>
    <definedName function="false" hidden="false" name="nd_psus" vbProcedure="false">06_NODO_PILASTRO!$C$34</definedName>
    <definedName function="false" hidden="false" name="nd_psv" vbProcedure="false">06_NODO_PILASTRO!$C$103</definedName>
    <definedName function="false" hidden="false" name="nd_q" vbProcedure="false">06_NODO_PILASTRO!$C$8</definedName>
    <definedName function="false" hidden="false" name="nd_r1" vbProcedure="false">06_NODO_PILASTRO!$C$109</definedName>
    <definedName function="false" hidden="false" name="nd_r2" vbProcedure="false">06_NODO_PILASTRO!$C$110</definedName>
    <definedName function="false" hidden="false" name="nd_r3" vbProcedure="false">06_NODO_PILASTRO!$C$111</definedName>
    <definedName function="false" hidden="false" name="nd_r4" vbProcedure="false">06_NODO_PILASTRO!$C$112</definedName>
    <definedName function="false" hidden="false" name="nd_r5" vbProcedure="false">06_NODO_PILASTRO!$C$113</definedName>
    <definedName function="false" hidden="false" name="nd_r6" vbProcedure="false">06_NODO_PILASTRO!$C$114</definedName>
    <definedName function="false" hidden="false" name="nd_r7" vbProcedure="false">06_NODO_PILASTRO!$C$115</definedName>
    <definedName function="false" hidden="false" name="nd_r8" vbProcedure="false">06_NODO_PILASTRO!$C$116</definedName>
    <definedName function="false" hidden="false" name="nd_r9" vbProcedure="false">06_NODO_PILASTRO!$C$117</definedName>
    <definedName function="false" hidden="false" name="nd_rcv" vbProcedure="false">06_NODO_PILASTRO!$C$101</definedName>
    <definedName function="false" hidden="false" name="nd_rfn" vbProcedure="false">06_NODO_PILASTRO!$C$39</definedName>
    <definedName function="false" hidden="false" name="nd_rmax" vbProcedure="false">06_NODO_PILASTRO!$C$118</definedName>
    <definedName function="false" hidden="false" name="nd_scp" vbProcedure="false">06_NODO_PILASTRO!$C$87</definedName>
    <definedName function="false" hidden="false" name="nd_scr" vbProcedure="false">06_NODO_PILASTRO!$C$85</definedName>
    <definedName function="false" hidden="false" name="nd_smin" vbProcedure="false">06_NODO_PILASTRO!$C$41</definedName>
    <definedName function="false" hidden="false" name="nd_sx" vbProcedure="false">06_NODO_PILASTRO!$C$46</definedName>
    <definedName function="false" hidden="false" name="nd_sy" vbProcedure="false">06_NODO_PILASTRO!$C$47</definedName>
    <definedName function="false" hidden="false" name="nd_tau" vbProcedure="false">06_NODO_PILASTRO!$C$33</definedName>
    <definedName function="false" hidden="false" name="nd_tp" vbProcedure="false">06_NODO_PILASTRO!$C$21</definedName>
    <definedName function="false" hidden="false" name="nd_v" vbProcedure="false">06_NODO_PILASTRO!$C$9</definedName>
    <definedName function="false" hidden="false" name="nd_vcz" vbProcedure="false">06_NODO_PILASTRO!$C$100</definedName>
    <definedName function="false" hidden="false" name="nd_ved" vbProcedure="false">06_NODO_PILASTRO!$C$57</definedName>
    <definedName function="false" hidden="false" name="nd_vline" vbProcedure="false">06_NODO_PILASTRO!$C$105</definedName>
    <definedName function="false" hidden="false" name="nd_vrc" vbProcedure="false">06_NODO_PILASTRO!$C$104</definedName>
    <definedName function="false" hidden="false" name="nd_vrcp" vbProcedure="false">06_NODO_PILASTRO!$C$98</definedName>
    <definedName function="false" hidden="false" name="nd_vrs" vbProcedure="false">06_NODO_PILASTRO!$C$73</definedName>
    <definedName function="false" hidden="false" name="nd_vsm" vbProcedure="false">06_NODO_PILASTRO!$C$72</definedName>
    <definedName function="false" hidden="false" name="nd_vso" vbProcedure="false">06_NODO_PILASTRO!$C$70</definedName>
    <definedName function="false" hidden="false" name="nd_z" vbProcedure="false">06_NODO_PILASTRO!$C$54</definedName>
    <definedName function="false" hidden="false" name="nd_zm" vbProcedure="false">06_NODO_PILASTRO!$C$48</definedName>
    <definedName function="false" hidden="false" name="new_cl" vbProcedure="false">02A_SOLETTA_LAMIERA!$C$8</definedName>
    <definedName function="false" hidden="false" name="new_fck" vbProcedure="false">02A_SOLETTA_LAMIERA!$C$9</definedName>
    <definedName function="false" hidden="false" name="n_lt" vbProcedure="false">01_DATI_GENERALI!$C$95</definedName>
    <definedName function="false" hidden="false" name="n_zero" vbProcedure="false">01_DATI_GENERALI!$C$93</definedName>
    <definedName function="false" hidden="false" name="prop_txt" vbProcedure="false">01_DATI_GENERALI!$C$23</definedName>
    <definedName function="false" hidden="false" name="psi_two" vbProcedure="false">01_DATI_GENERALI!$C$36</definedName>
    <definedName function="false" hidden="false" name="qc_k" vbProcedure="false">01_DATI_GENERALI!$C$32</definedName>
    <definedName function="false" hidden="false" name="q_k" vbProcedure="false">01_DATI_GENERALI!$C$35</definedName>
    <definedName function="false" hidden="false" name="q_slu" vbProcedure="false">01_DATI_GENERALI!$C$52</definedName>
    <definedName function="false" hidden="false" name="sc_n" vbProcedure="false">01_DATI_GENERALI!$C$16</definedName>
    <definedName function="false" hidden="false" name="sc_txt" vbProcedure="false">01_DATI_GENERALI!$C$15</definedName>
    <definedName function="false" hidden="false" name="sl_ast" vbProcedure="false">02A_SOLETTA_LAMIERA!$C$36</definedName>
    <definedName function="false" hidden="false" name="sl_be1" vbProcedure="false">02A_SOLETTA_LAMIERA!$C$26</definedName>
    <definedName function="false" hidden="false" name="sl_be2" vbProcedure="false">02A_SOLETTA_LAMIERA!$C$27</definedName>
    <definedName function="false" hidden="false" name="sl_beff" vbProcedure="false">02A_SOLETTA_LAMIERA!$C$28</definedName>
    <definedName function="false" hidden="false" name="sl_bl" vbProcedure="false">02A_SOLETTA_LAMIERA!$C$23</definedName>
    <definedName function="false" hidden="false" name="sl_br" vbProcedure="false">02A_SOLETTA_LAMIERA!$C$24</definedName>
    <definedName function="false" hidden="false" name="sl_bz" vbProcedure="false">02A_SOLETTA_LAMIERA!$C$25</definedName>
    <definedName function="false" hidden="false" name="sl_cot" vbProcedure="false">02A_SOLETTA_LAMIERA!$C$37</definedName>
    <definedName function="false" hidden="false" name="sl_h" vbProcedure="false">02A_SOLETTA_LAMIERA!$C$14</definedName>
    <definedName function="false" hidden="false" name="sl_hc" vbProcedure="false">02A_SOLETTA_LAMIERA!$C$19</definedName>
    <definedName function="false" hidden="false" name="sl_ltb" vbProcedure="false">02A_SOLETTA_LAMIERA!$C$32</definedName>
    <definedName function="false" hidden="false" name="st_alfa" vbProcedure="false">05A_PIOLI!$C$20</definedName>
    <definedName function="false" hidden="false" name="st_c1" vbProcedure="false">05A_PIOLI!$C$45</definedName>
    <definedName function="false" hidden="false" name="st_c2" vbProcedure="false">05A_PIOLI!$C$46</definedName>
    <definedName function="false" hidden="false" name="st_c3" vbProcedure="false">05A_PIOLI!$C$47</definedName>
    <definedName function="false" hidden="false" name="st_c4" vbProcedure="false">05A_PIOLI!$C$48</definedName>
    <definedName function="false" hidden="false" name="st_c5" vbProcedure="false">05A_PIOLI!$C$49</definedName>
    <definedName function="false" hidden="false" name="st_c6" vbProcedure="false">05A_PIOLI!$C$50</definedName>
    <definedName function="false" hidden="false" name="st_c7" vbProcedure="false">05A_PIOLI!$C$51</definedName>
    <definedName function="false" hidden="false" name="st_c8" vbProcedure="false">05A_PIOLI!$C$52</definedName>
    <definedName function="false" hidden="false" name="st_c9" vbProcedure="false">05A_PIOLI!$C$53</definedName>
    <definedName function="false" hidden="false" name="st_d" vbProcedure="false">05A_PIOLI!$C$8</definedName>
    <definedName function="false" hidden="false" name="st_et" vbProcedure="false">05A_PIOLI!$C$12</definedName>
    <definedName function="false" hidden="false" name="st_eta" vbProcedure="false">05A_PIOLI!$C$38</definedName>
    <definedName function="false" hidden="false" name="st_fu" vbProcedure="false">05A_PIOLI!$C$10</definedName>
    <definedName function="false" hidden="false" name="st_fue" vbProcedure="false">05A_PIOLI!$C$18</definedName>
    <definedName function="false" hidden="false" name="st_gr" vbProcedure="false">01_DATI_GENERALI!$C$77</definedName>
    <definedName function="false" hidden="false" name="st_gv" vbProcedure="false">05A_PIOLI!$C$14</definedName>
    <definedName function="false" hidden="false" name="st_h" vbProcedure="false">05A_PIOLI!$C$9</definedName>
    <definedName function="false" hidden="false" name="st_hd" vbProcedure="false">05A_PIOLI!$C$19</definedName>
    <definedName function="false" hidden="false" name="st_hsce" vbProcedure="false">05A_PIOLI!$C$27</definedName>
    <definedName function="false" hidden="false" name="st_k" vbProcedure="false">05A_PIOLI!$C$31</definedName>
    <definedName function="false" hidden="false" name="st_kl" vbProcedure="false">05A_PIOLI!$C$28</definedName>
    <definedName function="false" hidden="false" name="st_kt" vbProcedure="false">05A_PIOLI!$C$30</definedName>
    <definedName function="false" hidden="false" name="st_ktm" vbProcedure="false">05A_PIOLI!$C$29</definedName>
    <definedName function="false" hidden="false" name="st_nf" vbProcedure="false">05A_PIOLI!$C$36</definedName>
    <definedName function="false" hidden="false" name="st_np" vbProcedure="false">05A_PIOLI!$C$37</definedName>
    <definedName function="false" hidden="false" name="st_nr" vbProcedure="false">05A_PIOLI!$C$11</definedName>
    <definedName function="false" hidden="false" name="st_one" vbProcedure="false">01_DATI_GENERALI!$C$24</definedName>
    <definedName function="false" hidden="false" name="st_p" vbProcedure="false">05A_PIOLI!$C$23</definedName>
    <definedName function="false" hidden="false" name="st_pa" vbProcedure="false">05A_PIOLI!$C$21</definedName>
    <definedName function="false" hidden="false" name="st_pc" vbProcedure="false">05A_PIOLI!$C$22</definedName>
    <definedName function="false" hidden="false" name="st_pr" vbProcedure="false">05A_PIOLI!$C$32</definedName>
    <definedName function="false" hidden="false" name="st_rv" vbProcedure="false">05A_PIOLI!$C$41</definedName>
    <definedName function="false" hidden="false" name="st_s" vbProcedure="false">05A_PIOLI!$C$13</definedName>
    <definedName function="false" hidden="false" name="st_tot" vbProcedure="false">05A_PIOLI!$C$39</definedName>
    <definedName function="false" hidden="false" name="st_v" vbProcedure="false">05A_PIOLI!$C$40</definedName>
    <definedName function="false" hidden="false" name="tb_bar" vbProcedure="false">DB!$I$6:$I$12</definedName>
    <definedName function="false" hidden="false" name="tb_baras" vbProcedure="false">DB!$K$6:$K$12</definedName>
    <definedName function="false" hidden="false" name="tb_bard" vbProcedure="false">DB!$J$6:$J$12</definedName>
    <definedName function="false" hidden="false" name="tb_bcl" vbProcedure="false">DB!$M$6:$M$11</definedName>
    <definedName function="false" hidden="false" name="tb_bclfu" vbProcedure="false">DB!$N$6:$N$11</definedName>
    <definedName function="false" hidden="false" name="tb_bclfy" vbProcedure="false">DB!$O$6:$O$11</definedName>
    <definedName function="false" hidden="false" name="tb_cls" vbProcedure="false">DB!$A$6:$A$15</definedName>
    <definedName function="false" hidden="false" name="tb_clsfck" vbProcedure="false">DB!$B$6:$B$15</definedName>
    <definedName function="false" hidden="false" name="tb_fc" vbProcedure="false">DB!$F$21:$F$23</definedName>
    <definedName function="false" hidden="false" name="tb_ktf" vbProcedure="false">DB!$C$21:$C$24</definedName>
    <definedName function="false" hidden="false" name="tb_ktk" vbProcedure="false">DB!$A$21:$A$24</definedName>
    <definedName function="false" hidden="false" name="tb_ktp" vbProcedure="false">DB!$B$21:$B$24</definedName>
    <definedName function="false" hidden="false" name="tb_lc" vbProcedure="false">DB!$E$21:$E$23</definedName>
    <definedName function="false" hidden="false" name="tb_st" vbProcedure="false">DB!$E$6:$E$10</definedName>
    <definedName function="false" hidden="false" name="tb_stfu" vbProcedure="false">DB!$G$6:$G$10</definedName>
    <definedName function="false" hidden="false" name="tb_stfy" vbProcedure="false">DB!$F$6:$F$10</definedName>
    <definedName function="false" hidden="false" name="tr_df" vbProcedure="false">05A_PIOLI!$C$57</definedName>
    <definedName function="false" hidden="false" name="tr_e" vbProcedure="false">05A_PIOLI!$C$61</definedName>
    <definedName function="false" hidden="false" name="tr_eb" vbProcedure="false">05A_PIOLI!$C$64</definedName>
    <definedName function="false" hidden="false" name="tr_r" vbProcedure="false">05A_PIOLI!$C$60</definedName>
    <definedName function="false" hidden="false" name="tr_rb" vbProcedure="false">05A_PIOLI!$C$63</definedName>
    <definedName function="false" hidden="false" name="tr_req" vbProcedure="false">05A_PIOLI!$C$59</definedName>
    <definedName function="false" hidden="false" name="tr_v" vbProcedure="false">05A_PIOLI!$C$58</definedName>
    <definedName function="false" hidden="false" name="tr_vmax" vbProcedure="false">05A_PIOLI!$C$62</definedName>
    <definedName function="false" hidden="false" name="vt_efq" vbProcedure="false">04_VERIFICHE_TRAVE!$C$52</definedName>
    <definedName function="false" hidden="false" name="vt_eft" vbProcedure="false">04_VERIFICHE_TRAVE!$C$50</definedName>
    <definedName function="false" hidden="false" name="vt_em" vbProcedure="false">04_VERIFICHE_TRAVE!$C$11</definedName>
    <definedName function="false" hidden="false" name="vt_emc" vbProcedure="false">04_VERIFICHE_TRAVE!$C$29</definedName>
    <definedName function="false" hidden="false" name="vt_emin" vbProcedure="false">04_VERIFICHE_TRAVE!$C$12</definedName>
    <definedName function="false" hidden="false" name="vt_esa" vbProcedure="false">04_VERIFICHE_TRAVE!$C$40</definedName>
    <definedName function="false" hidden="false" name="vt_esc" vbProcedure="false">04_VERIFICHE_TRAVE!$C$41</definedName>
    <definedName function="false" hidden="false" name="vt_eta" vbProcedure="false">04_VERIFICHE_TRAVE!$C$8</definedName>
    <definedName function="false" hidden="false" name="vt_etaok" vbProcedure="false">04_VERIFICHE_TRAVE!$C$13</definedName>
    <definedName function="false" hidden="false" name="vt_ev" vbProcedure="false">04_VERIFICHE_TRAVE!$C$18</definedName>
    <definedName function="false" hidden="false" name="vt_evc" vbProcedure="false">04_VERIFICHE_TRAVE!$C$31</definedName>
    <definedName function="false" hidden="false" name="vt_fel" vbProcedure="false">04_VERIFICHE_TRAVE!$C$24</definedName>
    <definedName function="false" hidden="false" name="vt_flow" vbProcedure="false">04_VERIFICHE_TRAVE!$C$23</definedName>
    <definedName function="false" hidden="false" name="vt_fone" vbProcedure="false">04_VERIFICHE_TRAVE!$C$45</definedName>
    <definedName function="false" hidden="false" name="vt_fq" vbProcedure="false">04_VERIFICHE_TRAVE!$C$47</definedName>
    <definedName function="false" hidden="false" name="vt_fqp" vbProcedure="false">04_VERIFICHE_TRAVE!$C$53</definedName>
    <definedName function="false" hidden="false" name="vt_ftot" vbProcedure="false">04_VERIFICHE_TRAVE!$C$48</definedName>
    <definedName function="false" hidden="false" name="vt_ftwo" vbProcedure="false">04_VERIFICHE_TRAVE!$C$46</definedName>
    <definedName function="false" hidden="false" name="vt_ltb" vbProcedure="false">04_VERIFICHE_TRAVE!$C$32</definedName>
    <definedName function="false" hidden="false" name="vt_mrd" vbProcedure="false">04_VERIFICHE_TRAVE!$C$9</definedName>
    <definedName function="false" hidden="false" name="vt_mv" vbProcedure="false">04_VERIFICHE_TRAVE!$C$19</definedName>
    <definedName function="false" hidden="false" name="vt_rfq" vbProcedure="false">04_VERIFICHE_TRAVE!$C$51</definedName>
    <definedName function="false" hidden="false" name="vt_rft" vbProcedure="false">04_VERIFICHE_TRAVE!$C$49</definedName>
    <definedName function="false" hidden="false" name="vt_rm" vbProcedure="false">04_VERIFICHE_TRAVE!$C$10</definedName>
    <definedName function="false" hidden="false" name="vt_rmc" vbProcedure="false">04_VERIFICHE_TRAVE!$C$28</definedName>
    <definedName function="false" hidden="false" name="vt_rsa" vbProcedure="false">04_VERIFICHE_TRAVE!$C$38</definedName>
    <definedName function="false" hidden="false" name="vt_rsc" vbProcedure="false">04_VERIFICHE_TRAVE!$C$39</definedName>
    <definedName function="false" hidden="false" name="vt_rv" vbProcedure="false">04_VERIFICHE_TRAVE!$C$17</definedName>
    <definedName function="false" hidden="false" name="vt_rvc" vbProcedure="false">04_VERIFICHE_TRAVE!$C$30</definedName>
    <definedName function="false" hidden="false" name="vt_sa" vbProcedure="false">04_VERIFICHE_TRAVE!$C$36</definedName>
    <definedName function="false" hidden="false" name="vt_sc" vbProcedure="false">04_VERIFICHE_TRAVE!$C$37</definedName>
    <definedName function="false" hidden="false" name="v_auto" vbProcedure="false">01_DATI_GENERALI!$C$57</definedName>
    <definedName function="false" hidden="false" name="v_comp" vbProcedure="false">01_DATI_GENERALI!$C$71</definedName>
    <definedName function="false" hidden="false" name="v_cost" vbProcedure="false">01_DATI_GENERALI!$C$73</definedName>
    <definedName function="false" hidden="false" name="v_ed" vbProcedure="false">01_DATI_GENERALI!$C$61</definedName>
    <definedName function="false" hidden="false" name="v_gone" vbProcedure="false">01_DATI_GENERALI!$C$67</definedName>
    <definedName function="false" hidden="false" name="v_gtwo" vbProcedure="false">01_DATI_GENERALI!$C$68</definedName>
    <definedName function="false" hidden="false" name="v_man" vbProcedure="false">01_DATI_GENERALI!$C$59</definedName>
    <definedName function="false" hidden="false" name="v_q" vbProcedure="false">01_DATI_GENERALI!$C$69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DATO DA INSERIRE.
Testo libero, compare solo come intestazione.</t>
        </r>
      </text>
    </comment>
    <comment ref="C9" authorId="0">
      <text>
        <r>
          <rPr>
            <sz val="10"/>
            <rFont val="Arial"/>
            <family val="2"/>
          </rPr>
          <t xml:space="preserve">DATO DA INSERIRE.
Testo libero: identificativo della trave verificata.</t>
        </r>
      </text>
    </comment>
    <comment ref="C10" authorId="0">
      <text>
        <r>
          <rPr>
            <sz val="10"/>
            <rFont val="Arial"/>
            <family val="2"/>
          </rPr>
          <t xml:space="preserve">DATO DA INSERIRE.
Testo libero.</t>
        </r>
      </text>
    </comment>
    <comment ref="C11" authorId="0">
      <text>
        <r>
          <rPr>
            <sz val="10"/>
            <rFont val="Arial"/>
            <family val="2"/>
          </rPr>
          <t xml:space="preserve">DATO DA INSERIRE.
Testo libero.</t>
        </r>
      </text>
    </comment>
    <comment ref="C15" authorId="0">
      <text>
        <r>
          <rPr>
            <sz val="10"/>
            <rFont val="Arial"/>
            <family val="2"/>
          </rPr>
          <t xml:space="preserve">DATO DA INSERIRE.
Scegliere 1 per trave NUOVA in acciaio con soletta c.a. gettata su lamiera grecata e connessione a pioli (Nelson). Scegliere 2 per RINFORZO: profilo in acciaio posto sotto una trave c.a. esistente, collegato con barre filettate e ancorante chimico, con attacco al pilastro esistente tramite piastra inghisata.</t>
        </r>
      </text>
    </comment>
    <comment ref="C16" authorId="0">
      <text>
        <r>
          <rPr>
            <sz val="10"/>
            <rFont val="Arial"/>
            <family val="2"/>
          </rPr>
          <t xml:space="preserve">RISULTATO.
Calcolato dalla scelta precedente. Usato da tutte le formule per attivare/disattivare le verifiche.</t>
        </r>
      </text>
    </comment>
    <comment ref="C20" authorId="0">
      <text>
        <r>
          <rPr>
            <sz val="10"/>
            <rFont val="Arial"/>
            <family val="2"/>
          </rPr>
          <t xml:space="preserve">DATO DA INSERIRE.
Distanza tra gli appoggi (assi pilastri o assi appoggi). Schema di trave semplicemente appoggiata: L e' anche la distanza tra punti di momento nullo Le per la larghezza efficace.</t>
        </r>
      </text>
    </comment>
    <comment ref="C21" authorId="0">
      <text>
        <r>
          <rPr>
            <sz val="10"/>
            <rFont val="Arial"/>
            <family val="2"/>
          </rPr>
          <t xml:space="preserve">CALCOLO AUTOMATICO - non modificare.
Conversione automatica.</t>
        </r>
      </text>
    </comment>
    <comment ref="C22" authorId="0">
      <text>
        <r>
          <rPr>
            <sz val="10"/>
            <rFont val="Arial"/>
            <family val="2"/>
          </rPr>
          <t xml:space="preserve">DATO DA INSERIRE.
Larghezza di solaio che scarica sulla trave (di norma = interasse tra le travi, oppure meta' luce dei travetti/lamiera per ciascun lato). Moltiplica tutti i carichi in kN/m2.</t>
        </r>
      </text>
    </comment>
    <comment ref="C23" authorId="0">
      <text>
        <r>
          <rPr>
            <sz val="10"/>
            <rFont val="Arial"/>
            <family val="2"/>
          </rPr>
          <t xml:space="preserve">DATO DA INSERIRE.
Solo scenario 1. NO (consigliato a favore di sicurezza se non si e' certi): peso proprio acciaio + lamiera + getto fresco + carico di costruzione gravano sulla sola trave in acciaio (verifica fase di getto e freccia di fase 1). SI: la trave e' sostenuta da puntelli fino a maturazione del getto, tutti i carichi agiscono sulla sezione composta. Ignorato nello scenario 2.</t>
        </r>
      </text>
    </comment>
    <comment ref="C24" authorId="0">
      <text>
        <r>
          <rPr>
            <sz val="10"/>
            <rFont val="Arial"/>
            <family val="2"/>
          </rPr>
          <t xml:space="preserve">CALCOLO AUTOMATICO - non modificare.
Automatico. Vale 1 solo per scenario 1 non puntellato. Nello scenario 2 la ripartizione dei carichi e' governata dalla scelta 'Carichi che gravano sulla sezione composta' nel foglio 02B.</t>
        </r>
      </text>
    </comment>
    <comment ref="C25" authorId="0">
      <text>
        <r>
          <rPr>
            <sz val="10"/>
            <rFont val="Arial"/>
            <family val="2"/>
          </rPr>
          <t xml:space="preserve">CALCOLO AUTOMATICO - non modificare.
Automatico. Sc.1: 0 se non puntellata (G1 su sola trave acciaio), 1 se puntellata. Sc.2: 1 solo con 'TUTTI' (02B), altrimenti G1 resta sulla trave esistente.</t>
        </r>
      </text>
    </comment>
    <comment ref="C26" authorId="0">
      <text>
        <r>
          <rPr>
            <sz val="10"/>
            <rFont val="Arial"/>
            <family val="2"/>
          </rPr>
          <t xml:space="preserve">CALCOLO AUTOMATICO - non modificare.
Automatico. Sc.2: G2 grava sulla composta se applicato dopo il rinforzo o con opzione 'TUTTI'.</t>
        </r>
      </text>
    </comment>
    <comment ref="C30" authorId="0">
      <text>
        <r>
          <rPr>
            <sz val="10"/>
            <rFont val="Arial"/>
            <family val="2"/>
          </rPr>
          <t xml:space="preserve">DATO DA INSERIRE.
Sc.1: peso soletta (getto + lamiera) per m2, es. soletta 12cm su lamiera h55 circa 2,3-2,6 kN/m2. Sc.2: peso del solaio esistente (es. laterocemento 20+4 circa 3,0-3,2 kN/m2). Il peso proprio del profilo e della trave c.a. sono aggiunti automaticamente sotto.</t>
        </r>
      </text>
    </comment>
    <comment ref="C31" authorId="0">
      <text>
        <r>
          <rPr>
            <sz val="10"/>
            <rFont val="Arial"/>
            <family val="2"/>
          </rPr>
          <t xml:space="preserve">DATO DA INSERIRE.
Eventuali carichi lineari strutturali aggiuntivi gia' presenti (es. muratura portata). Lasciare 0 se assenti.</t>
        </r>
      </text>
    </comment>
    <comment ref="C32" authorId="0">
      <text>
        <r>
          <rPr>
            <sz val="10"/>
            <rFont val="Arial"/>
            <family val="2"/>
          </rPr>
          <t xml:space="preserve">DATO DA INSERIRE.
Carichi di costruzione/maestranze durante il getto (EN 1991-1-6 4.11.1: indicativamente 0,75 kN/m2 + 10% peso getto su area di lavoro; 1,0-1,5 kN/m2 e' un valore usuale). Usato solo per la verifica di fase di getto, scenario 1.</t>
        </r>
      </text>
    </comment>
    <comment ref="C33" authorId="0">
      <text>
        <r>
          <rPr>
            <sz val="10"/>
            <rFont val="Arial"/>
            <family val="2"/>
          </rPr>
          <t xml:space="preserve">DATO DA INSERIRE.
Pavimenti, massetti, impianti, incidenza tramezzi (NTC 3.1.3). Sc.2: indicare in 02B se sono gia' presenti prima del rinforzo (cambia solo il calcolo delle frecce).</t>
        </r>
      </text>
    </comment>
    <comment ref="C34" authorId="0">
      <text>
        <r>
          <rPr>
            <sz val="10"/>
            <rFont val="Arial"/>
            <family val="2"/>
          </rPr>
          <t xml:space="preserve">DATO DA INSERIRE.
Es. tamponature o parapetti gravanti direttamente sulla trave.</t>
        </r>
      </text>
    </comment>
    <comment ref="C35" authorId="0">
      <text>
        <r>
          <rPr>
            <sz val="10"/>
            <rFont val="Arial"/>
            <family val="2"/>
          </rPr>
          <t xml:space="preserve">DATO DA INSERIRE.
Carico variabile per categoria d'uso (NTC Tab. 3.1.II): A residenziale 2,0; B uffici 3,0; C1 3,0; ecc.</t>
        </r>
      </text>
    </comment>
    <comment ref="C36" authorId="0">
      <text>
        <r>
          <rPr>
            <sz val="10"/>
            <rFont val="Arial"/>
            <family val="2"/>
          </rPr>
          <t xml:space="preserve">DATO DA INSERIRE.
NTC Tab. 2.5.I (A residenziale 0,3; B uffici 0,3; C 0,6; E 0,8). Usato per la freccia quasi permanente (informativa).</t>
        </r>
      </text>
    </comment>
    <comment ref="C40" authorId="0">
      <text>
        <r>
          <rPr>
            <sz val="10"/>
            <rFont val="Arial"/>
            <family val="2"/>
          </rPr>
          <t xml:space="preserve">DATO DA INSERIRE.
Permanenti strutturali: 1,3 (NTC 2018 Tab. 2.6.I, A1-STR).</t>
        </r>
      </text>
    </comment>
    <comment ref="C41" authorId="0">
      <text>
        <r>
          <rPr>
            <sz val="10"/>
            <rFont val="Arial"/>
            <family val="2"/>
          </rPr>
          <t xml:space="preserve">DATO DA INSERIRE.
Permanenti non strutturali: 1,5 (1,3 se compiutamente definiti).</t>
        </r>
      </text>
    </comment>
    <comment ref="C42" authorId="0">
      <text>
        <r>
          <rPr>
            <sz val="10"/>
            <rFont val="Arial"/>
            <family val="2"/>
          </rPr>
          <t xml:space="preserve">DATO DA INSERIRE.
Variabili: 1,5.</t>
        </r>
      </text>
    </comment>
    <comment ref="C46" authorId="0">
      <text>
        <r>
          <rPr>
            <sz val="10"/>
            <rFont val="Arial"/>
            <family val="2"/>
          </rPr>
          <t xml:space="preserve">CALCOLO AUTOMATICO - non modificare.
Formula: A_a [mm2] x 78,5 kN/m3. Automatico dal foglio 02.</t>
        </r>
      </text>
    </comment>
    <comment ref="C47" authorId="0">
      <text>
        <r>
          <rPr>
            <sz val="10"/>
            <rFont val="Arial"/>
            <family val="2"/>
          </rPr>
          <t xml:space="preserve">CALCOLO AUTOMATICO - non modificare.
Formula: bw x (H - hf) x 25 kN/m3 (la soletta e' gia' compresa in G1 pre). Zero nello scenario 1.</t>
        </r>
      </text>
    </comment>
    <comment ref="C48" authorId="0">
      <text>
        <r>
          <rPr>
            <sz val="10"/>
            <rFont val="Arial"/>
            <family val="2"/>
          </rPr>
          <t xml:space="preserve">CALCOLO AUTOMATICO - non modificare.
Formula: g1,pre x i + G1,x + Ga + Grc</t>
        </r>
      </text>
    </comment>
    <comment ref="C49" authorId="0">
      <text>
        <r>
          <rPr>
            <sz val="10"/>
            <rFont val="Arial"/>
            <family val="2"/>
          </rPr>
          <t xml:space="preserve">CALCOLO AUTOMATICO - non modificare.
Formula: qc x i (solo scenario 1)</t>
        </r>
      </text>
    </comment>
    <comment ref="C50" authorId="0">
      <text>
        <r>
          <rPr>
            <sz val="10"/>
            <rFont val="Arial"/>
            <family val="2"/>
          </rPr>
          <t xml:space="preserve">CALCOLO AUTOMATICO - non modificare.
Formula: g2 x i + G2,x</t>
        </r>
      </text>
    </comment>
    <comment ref="C51" authorId="0">
      <text>
        <r>
          <rPr>
            <sz val="10"/>
            <rFont val="Arial"/>
            <family val="2"/>
          </rPr>
          <t xml:space="preserve">CALCOLO AUTOMATICO - non modificare.
Formula: qk x i</t>
        </r>
      </text>
    </comment>
    <comment ref="C52" authorId="0">
      <text>
        <r>
          <rPr>
            <sz val="10"/>
            <rFont val="Arial"/>
            <family val="2"/>
          </rPr>
          <t xml:space="preserve">RISULTATO.
Formula: gG1 G1 + gG2 G2 + gQ Q (combinazione fondamentale, NTC 2.5.1)</t>
        </r>
      </text>
    </comment>
    <comment ref="C56" authorId="0">
      <text>
        <r>
          <rPr>
            <sz val="10"/>
            <rFont val="Arial"/>
            <family val="2"/>
          </rPr>
          <t xml:space="preserve">CALCOLO AUTOMATICO - non modificare.
Formula: qEd L^2 / 8</t>
        </r>
      </text>
    </comment>
    <comment ref="C57" authorId="0">
      <text>
        <r>
          <rPr>
            <sz val="10"/>
            <rFont val="Arial"/>
            <family val="2"/>
          </rPr>
          <t xml:space="preserve">CALCOLO AUTOMATICO - non modificare.
Formula: qEd L / 2</t>
        </r>
      </text>
    </comment>
    <comment ref="C58" authorId="0">
      <text>
        <r>
          <rPr>
            <sz val="10"/>
            <rFont val="Arial"/>
            <family val="2"/>
          </rPr>
          <t xml:space="preserve">DATO DA INSERIRE.
Inserire un valore &gt;0 SOLO se lo schema non e' di trave appoggiata (es. da modello FEM). Le componenti G1/G2/Q vengono scalate proporzionalmente.</t>
        </r>
      </text>
    </comment>
    <comment ref="C59" authorId="0">
      <text>
        <r>
          <rPr>
            <sz val="10"/>
            <rFont val="Arial"/>
            <family val="2"/>
          </rPr>
          <t xml:space="preserve">DATO DA INSERIRE.
Come sopra, per il taglio massimo all'appoggio (usato anche per il flusso di scorrimento e per il nodo al pilastro).</t>
        </r>
      </text>
    </comment>
    <comment ref="C60" authorId="0">
      <text>
        <r>
          <rPr>
            <sz val="10"/>
            <rFont val="Arial"/>
            <family val="2"/>
          </rPr>
          <t xml:space="preserve">RISULTATO.
Momento massimo positivo SLU in campata.</t>
        </r>
      </text>
    </comment>
    <comment ref="C61" authorId="0">
      <text>
        <r>
          <rPr>
            <sz val="10"/>
            <rFont val="Arial"/>
            <family val="2"/>
          </rPr>
          <t xml:space="preserve">RISULTATO.
Taglio massimo SLU all'appoggio.</t>
        </r>
      </text>
    </comment>
    <comment ref="C62" authorId="0">
      <text>
        <r>
          <rPr>
            <sz val="10"/>
            <rFont val="Arial"/>
            <family val="2"/>
          </rPr>
          <t xml:space="preserve">CALCOLO AUTOMATICO - non modificare.
MEd / MEd,auto</t>
        </r>
      </text>
    </comment>
    <comment ref="C63" authorId="0">
      <text>
        <r>
          <rPr>
            <sz val="10"/>
            <rFont val="Arial"/>
            <family val="2"/>
          </rPr>
          <t xml:space="preserve">CALCOLO AUTOMATICO - non modificare.
VEd / VEd,auto</t>
        </r>
      </text>
    </comment>
    <comment ref="C64" authorId="0">
      <text>
        <r>
          <rPr>
            <sz val="10"/>
            <rFont val="Arial"/>
            <family val="2"/>
          </rPr>
          <t xml:space="preserve">CALCOLO AUTOMATICO - non modificare.
Usata nelle verifiche elastiche (fasi e viscosita').</t>
        </r>
      </text>
    </comment>
    <comment ref="C70" authorId="0">
      <text>
        <r>
          <rPr>
            <sz val="10"/>
            <rFont val="Arial"/>
            <family val="2"/>
          </rPr>
          <t xml:space="preserve">RISULTATO.
Parte del momento SLU applicata dopo la solidarizzazione (usata per tensioni elastiche e connessione elastica).</t>
        </r>
      </text>
    </comment>
    <comment ref="C71" authorId="0">
      <text>
        <r>
          <rPr>
            <sz val="10"/>
            <rFont val="Arial"/>
            <family val="2"/>
          </rPr>
          <t xml:space="preserve">RISULTATO.
Taglio SLU applicato dopo la solidarizzazione (flusso di scorrimento, nodo al pilastro sc.2).</t>
        </r>
      </text>
    </comment>
    <comment ref="C72" authorId="0">
      <text>
        <r>
          <rPr>
            <sz val="10"/>
            <rFont val="Arial"/>
            <family val="2"/>
          </rPr>
          <t xml:space="preserve">CALCOLO AUTOMATICO - non modificare.
Formula: (gG1 G1 + gQ Qc) L^2/8. Solo scenario 1.</t>
        </r>
      </text>
    </comment>
    <comment ref="C77" authorId="0">
      <text>
        <r>
          <rPr>
            <sz val="10"/>
            <rFont val="Arial"/>
            <family val="2"/>
          </rPr>
          <t xml:space="preserve">DATO DA INSERIRE.
Scegliere dal menu. Per acciai esistenti/diversi modificare la tabella nel foglio DB.</t>
        </r>
      </text>
    </comment>
    <comment ref="C78" authorId="0">
      <text>
        <r>
          <rPr>
            <sz val="10"/>
            <rFont val="Arial"/>
            <family val="2"/>
          </rPr>
          <t xml:space="preserve">CALCOLO AUTOMATICO - non modificare.
Da tabella DB.</t>
        </r>
      </text>
    </comment>
    <comment ref="C79" authorId="0">
      <text>
        <r>
          <rPr>
            <sz val="10"/>
            <rFont val="Arial"/>
            <family val="2"/>
          </rPr>
          <t xml:space="preserve">CALCOLO AUTOMATICO - non modificare.
Da tabella DB.</t>
        </r>
      </text>
    </comment>
    <comment ref="C80" authorId="0">
      <text>
        <r>
          <rPr>
            <sz val="10"/>
            <rFont val="Arial"/>
            <family val="2"/>
          </rPr>
          <t xml:space="preserve">DATO DA INSERIRE.
NTC 4.2.4.1.1: resistenza delle sezioni = 1,05.</t>
        </r>
      </text>
    </comment>
    <comment ref="C81" authorId="0">
      <text>
        <r>
          <rPr>
            <sz val="10"/>
            <rFont val="Arial"/>
            <family val="2"/>
          </rPr>
          <t xml:space="preserve">DATO DA INSERIRE.
NTC 4.2.8.1.1: sezioni forate / unioni = 1,25 (rifollamento).</t>
        </r>
      </text>
    </comment>
    <comment ref="C82" authorId="0">
      <text>
        <r>
          <rPr>
            <sz val="10"/>
            <rFont val="Arial"/>
            <family val="2"/>
          </rPr>
          <t xml:space="preserve">DATO DA INSERIRE.
NTC 11.3.4.1: 210000 MPa.</t>
        </r>
      </text>
    </comment>
    <comment ref="C83" authorId="0">
      <text>
        <r>
          <rPr>
            <sz val="10"/>
            <rFont val="Arial"/>
            <family val="2"/>
          </rPr>
          <t xml:space="preserve">RISULTATO.
Formula: fyk / gM0</t>
        </r>
      </text>
    </comment>
    <comment ref="C84" authorId="0">
      <text>
        <r>
          <rPr>
            <sz val="10"/>
            <rFont val="Arial"/>
            <family val="2"/>
          </rPr>
          <t xml:space="preserve">CALCOLO AUTOMATICO - non modificare.
Formula: sqrt(235/fyk), per la classificazione delle sezioni.</t>
        </r>
      </text>
    </comment>
    <comment ref="C88" authorId="0">
      <text>
        <r>
          <rPr>
            <sz val="10"/>
            <rFont val="Arial"/>
            <family val="2"/>
          </rPr>
          <t xml:space="preserve">RISULTATO.
Sc.1: fck della classe scelta in 02A. Sc.2: fcm da prove / FC (NTC 8.5.4 e Circ. C8.5.4: per i materiali esistenti si usa il valore medio diviso FC). </t>
        </r>
      </text>
    </comment>
    <comment ref="C89" authorId="0">
      <text>
        <r>
          <rPr>
            <sz val="10"/>
            <rFont val="Arial"/>
            <family val="2"/>
          </rPr>
          <t xml:space="preserve">CALCOLO AUTOMATICO - non modificare.
NTC 11.2.10.3: Ecm = 22000 (fcm/10)^0,3 con fcm = fck+8 (sc.1) o fcm da prove (sc.2).</t>
        </r>
      </text>
    </comment>
    <comment ref="C90" authorId="0">
      <text>
        <r>
          <rPr>
            <sz val="10"/>
            <rFont val="Arial"/>
            <family val="2"/>
          </rPr>
          <t xml:space="preserve">DATO DA INSERIRE.
NTC 4.1.2.1.1.1: 1,5.</t>
        </r>
      </text>
    </comment>
    <comment ref="C91" authorId="0">
      <text>
        <r>
          <rPr>
            <sz val="10"/>
            <rFont val="Arial"/>
            <family val="2"/>
          </rPr>
          <t xml:space="preserve">DATO DA INSERIRE.
Coefficiente applicato al cls compresso: 0,85 (NTC 4.1.2.1.1.1 / blocco plastico EC4 6.2.1.2: 0,85 fcd con fcd=fck/gc).</t>
        </r>
      </text>
    </comment>
    <comment ref="C92" authorId="0">
      <text>
        <r>
          <rPr>
            <sz val="10"/>
            <rFont val="Arial"/>
            <family val="2"/>
          </rPr>
          <t xml:space="preserve">RISULTATO.
Formula: acc fck / gc</t>
        </r>
      </text>
    </comment>
    <comment ref="C93" authorId="0">
      <text>
        <r>
          <rPr>
            <sz val="10"/>
            <rFont val="Arial"/>
            <family val="2"/>
          </rPr>
          <t xml:space="preserve">CALCOLO AUTOMATICO - non modificare.
Formula: Ea / Ecm (carichi variabili, istantanei).</t>
        </r>
      </text>
    </comment>
    <comment ref="C94" authorId="0">
      <text>
        <r>
          <rPr>
            <sz val="10"/>
            <rFont val="Arial"/>
            <family val="2"/>
          </rPr>
          <t xml:space="preserve">DATO DA INSERIRE.
n_L = kL x n0. Dispensa (Ec' = Ecm/3 per lunga durata) -&gt; 3. EC4 5.4.2.2(11) consente per edifici n = 2 n0 per tutti i carichi. Valori 2-3.</t>
        </r>
      </text>
    </comment>
    <comment ref="C95" authorId="0">
      <text>
        <r>
          <rPr>
            <sz val="10"/>
            <rFont val="Arial"/>
            <family val="2"/>
          </rPr>
          <t xml:space="preserve">CALCOLO AUTOMATICO - non modificare.
Formula: kL x n0 (carichi permanenti G1, G2).</t>
        </r>
      </text>
    </comment>
    <comment ref="C99" authorId="0">
      <text>
        <r>
          <rPr>
            <sz val="10"/>
            <rFont val="Arial"/>
            <family val="2"/>
          </rPr>
          <t xml:space="preserve">DATO DA INSERIRE.
NTC 11.3.2.1.</t>
        </r>
      </text>
    </comment>
    <comment ref="C100" authorId="0">
      <text>
        <r>
          <rPr>
            <sz val="10"/>
            <rFont val="Arial"/>
            <family val="2"/>
          </rPr>
          <t xml:space="preserve">DATO DA INSERIRE.
NTC 4.1.2.1.1.3.</t>
        </r>
      </text>
    </comment>
    <comment ref="C105" authorId="0">
      <text>
        <r>
          <rPr>
            <sz val="10"/>
            <rFont val="Arial"/>
            <family val="2"/>
          </rPr>
          <t xml:space="preserve">DATO DA INSERIRE.
NTC Tab. 4.2.XII solai in generale: L/250 (freccia totale). Modificabile.</t>
        </r>
      </text>
    </comment>
    <comment ref="C106" authorId="0">
      <text>
        <r>
          <rPr>
            <sz val="10"/>
            <rFont val="Arial"/>
            <family val="2"/>
          </rPr>
          <t xml:space="preserve">DATO DA INSERIRE.
NTC Tab. 4.2.XII solai in generale: L/300. Modificabile (es. L/350 se tramezzi fragili).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DATO DA INSERIRE.
Testo libero (es. IPE 300, HEB 200, saldato 400x200x10x15).</t>
        </r>
      </text>
    </comment>
    <comment ref="C9" authorId="0">
      <text>
        <r>
          <rPr>
            <sz val="10"/>
            <rFont val="Arial"/>
            <family val="2"/>
          </rPr>
          <t xml:space="preserve">DATO DA INSERIRE.
Altezza del profilo da sagomario. Esempi: IPE300 h=300; HEB200 h=200.</t>
        </r>
      </text>
    </comment>
    <comment ref="C10" authorId="0">
      <text>
        <r>
          <rPr>
            <sz val="10"/>
            <rFont val="Arial"/>
            <family val="2"/>
          </rPr>
          <t xml:space="preserve">DATO DA INSERIRE.
Ala a contatto con la soletta (sc.1) o con l'intradosso della trave c.a. (sc.2). Sc.2: deve essere &lt;= larghezza trave esistente bw.</t>
        </r>
      </text>
    </comment>
    <comment ref="C11" authorId="0">
      <text>
        <r>
          <rPr>
            <sz val="10"/>
            <rFont val="Arial"/>
            <family val="2"/>
          </rPr>
          <t xml:space="preserve">DATO DA INSERIRE.
Es. HEB200 tf=15; IPE300 tf=10,7.</t>
        </r>
      </text>
    </comment>
    <comment ref="C12" authorId="0">
      <text>
        <r>
          <rPr>
            <sz val="10"/>
            <rFont val="Arial"/>
            <family val="2"/>
          </rPr>
          <t xml:space="preserve">DATO DA INSERIRE.
Per laminati = b,sup.</t>
        </r>
      </text>
    </comment>
    <comment ref="C13" authorId="0">
      <text>
        <r>
          <rPr>
            <sz val="10"/>
            <rFont val="Arial"/>
            <family val="2"/>
          </rPr>
          <t xml:space="preserve">DATO DA INSERIRE.
Per laminati = tf,sup.</t>
        </r>
      </text>
    </comment>
    <comment ref="C14" authorId="0">
      <text>
        <r>
          <rPr>
            <sz val="10"/>
            <rFont val="Arial"/>
            <family val="2"/>
          </rPr>
          <t xml:space="preserve">DATO DA INSERIRE.
Es. HEB200 tw=9; IPE300 tw=7,1.</t>
        </r>
      </text>
    </comment>
    <comment ref="C15" authorId="0">
      <text>
        <r>
          <rPr>
            <sz val="10"/>
            <rFont val="Arial"/>
            <family val="2"/>
          </rPr>
          <t xml:space="preserve">DATO DA INSERIRE.
Laminati: da sagomario (HEB200 r=18; IPE300 r=15). Profili saldati: 0 (o il lato del cordone, trascurabile).</t>
        </r>
      </text>
    </comment>
    <comment ref="C16" authorId="0">
      <text>
        <r>
          <rPr>
            <sz val="10"/>
            <rFont val="Arial"/>
            <family val="2"/>
          </rPr>
          <t xml:space="preserve">CALCOLO AUTOMATICO - non modificare.
Formula: h - tf,sup - tf,inf</t>
        </r>
      </text>
    </comment>
    <comment ref="C17" authorId="0">
      <text>
        <r>
          <rPr>
            <sz val="10"/>
            <rFont val="Arial"/>
            <family val="2"/>
          </rPr>
          <t xml:space="preserve">CALCOLO AUTOMATICO - non modificare.
Formula: 2(1-pi/4) r (area dei due raccordi su un lato spalmata su altezza r)</t>
        </r>
      </text>
    </comment>
    <comment ref="C30" authorId="0">
      <text>
        <r>
          <rPr>
            <sz val="10"/>
            <rFont val="Arial"/>
            <family val="2"/>
          </rPr>
          <t xml:space="preserve">RISULTATO.
Somma aree strati. Controllo: confrontare con il sagomario (es. HEB200 = 7808 mm2; IPE300 = 5381 mm2).</t>
        </r>
      </text>
    </comment>
    <comment ref="C31" authorId="0">
      <text>
        <r>
          <rPr>
            <sz val="10"/>
            <rFont val="Arial"/>
            <family val="2"/>
          </rPr>
          <t xml:space="preserve">CALCOLO AUTOMATICO - non modificare.
Formula: sum(A y)/A</t>
        </r>
      </text>
    </comment>
    <comment ref="C32" authorId="0">
      <text>
        <r>
          <rPr>
            <sz val="10"/>
            <rFont val="Arial"/>
            <family val="2"/>
          </rPr>
          <t xml:space="preserve">RISULTATO.
Steiner. Controllo col sagomario (HEB200 Iy = 5696 cm4; IPE300 = 8356 cm4): differenze &lt; 1-2% dovute al modello dei raccordi.</t>
        </r>
      </text>
    </comment>
    <comment ref="C35" authorId="0">
      <text>
        <r>
          <rPr>
            <sz val="10"/>
            <rFont val="Arial"/>
            <family val="2"/>
          </rPr>
          <t xml:space="preserve">CALCOLO AUTOMATICO - non modificare.
Formula: A x 78,5 kN/m3</t>
        </r>
      </text>
    </comment>
    <comment ref="C49" authorId="0">
      <text>
        <r>
          <rPr>
            <sz val="10"/>
            <rFont val="Arial"/>
            <family val="2"/>
          </rPr>
          <t xml:space="preserve">CALCOLO AUTOMATICO - non modificare.
Posizione in cui l'area compressa = area tesa.</t>
        </r>
      </text>
    </comment>
    <comment ref="C50" authorId="0">
      <text>
        <r>
          <rPr>
            <sz val="10"/>
            <rFont val="Arial"/>
            <family val="2"/>
          </rPr>
          <t xml:space="preserve">CALCOLO AUTOMATICO - non modificare.
Formula: Aa fyd</t>
        </r>
      </text>
    </comment>
    <comment ref="C51" authorId="0">
      <text>
        <r>
          <rPr>
            <sz val="10"/>
            <rFont val="Arial"/>
            <family val="2"/>
          </rPr>
          <t xml:space="preserve">RISULTATO.
Somma dei momenti delle risultanti rispetto all'asse neutro plastico.</t>
        </r>
      </text>
    </comment>
    <comment ref="C52" authorId="0">
      <text>
        <r>
          <rPr>
            <sz val="10"/>
            <rFont val="Arial"/>
            <family val="2"/>
          </rPr>
          <t xml:space="preserve">CALCOLO AUTOMATICO - non modificare.
Controllo col sagomario (HEB200 Wpl = 642,5 cm3; IPE300 = 628,4 cm3).</t>
        </r>
      </text>
    </comment>
    <comment ref="C53" authorId="0">
      <text>
        <r>
          <rPr>
            <sz val="10"/>
            <rFont val="Arial"/>
            <family val="2"/>
          </rPr>
          <t xml:space="preserve">CALCOLO AUTOMATICO - non modificare.
Formula: Wel,min fyd (da usare se classe 3).</t>
        </r>
      </text>
    </comment>
    <comment ref="C54" authorId="0">
      <text>
        <r>
          <rPr>
            <sz val="10"/>
            <rFont val="Arial"/>
            <family val="2"/>
          </rPr>
          <t xml:space="preserve">CALCOLO AUTOMATICO - non modificare.
EN 1993-1-1 6.2.6(3): Av = A - 2 b tf + (tw + 2r) tf &gt;= eta hw tw (eta = 1 a favore di sicurezza; ali diverse: media).</t>
        </r>
      </text>
    </comment>
    <comment ref="C55" authorId="0">
      <text>
        <r>
          <rPr>
            <sz val="10"/>
            <rFont val="Arial"/>
            <family val="2"/>
          </rPr>
          <t xml:space="preserve">RISULTATO.
Formula: Av fyd / sqrt(3) (NTC 4.2.4.1.2.4). Il taglio e' affidato alla sola trave in acciaio (EC4 6.2.2.2).</t>
        </r>
      </text>
    </comment>
    <comment ref="C56" authorId="0">
      <text>
        <r>
          <rPr>
            <sz val="10"/>
            <rFont val="Arial"/>
            <family val="2"/>
          </rPr>
          <t xml:space="preserve">CALCOLO AUTOMATICO - non modificare.
Se &gt; 72 eps (eta=1) occorre verifica all'imbozzamento per taglio (EN 1993-1-5).</t>
        </r>
      </text>
    </comment>
    <comment ref="C58" authorId="0">
      <text>
        <r>
          <rPr>
            <sz val="10"/>
            <rFont val="Arial"/>
            <family val="2"/>
          </rPr>
          <t xml:space="preserve">CALCOLO AUTOMATICO - non modificare.
Sbalzo dell'ala compressa: c = (b - tw - 2r)/2.</t>
        </r>
      </text>
    </comment>
    <comment ref="C59" authorId="0">
      <text>
        <r>
          <rPr>
            <sz val="10"/>
            <rFont val="Arial"/>
            <family val="2"/>
          </rPr>
          <t xml:space="preserve">RISULTATO.
EN 1993-1-1 Tab. 5.2: 9eps / 10eps / 14eps. In sezione composta l'ala connessa ai connettori con passo regolamentare puo' considerarsi di classe 1 (EC4 5.5.2(1)).</t>
        </r>
      </text>
    </comment>
    <comment ref="C60" authorId="0">
      <text>
        <r>
          <rPr>
            <sz val="10"/>
            <rFont val="Arial"/>
            <family val="2"/>
          </rPr>
          <t xml:space="preserve">RISULTATO.
EN 1993-1-1 Tab. 5.2 flessione: 72/83/124 eps.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DATO DA INSERIRE.
Scegliere dal menu. Per strutture composte NTC 4.3.1: classi da C20/25 a C60/75.</t>
        </r>
      </text>
    </comment>
    <comment ref="C9" authorId="0">
      <text>
        <r>
          <rPr>
            <sz val="10"/>
            <rFont val="Arial"/>
            <family val="2"/>
          </rPr>
          <t xml:space="preserve">CALCOLO AUTOMATICO - non modificare.
Da tabella DB.</t>
        </r>
      </text>
    </comment>
    <comment ref="C13" authorId="0">
      <text>
        <r>
          <rPr>
            <sz val="10"/>
            <rFont val="Arial"/>
            <family val="2"/>
          </rPr>
          <t xml:space="preserve">DATO DA INSERIRE.
TRASVERSALE = nervature perpendicolari alla trave (caso usuale per travi principali): riduzione kt dei pioli. PARALLELA = nervature parallele alla trave: riduzione kl. SOLETTA PIENA = getto su casseri/predalle senza lamiera: nessuna riduzione (impostare hp = 0).</t>
        </r>
      </text>
    </comment>
    <comment ref="C14" authorId="0">
      <text>
        <r>
          <rPr>
            <sz val="10"/>
            <rFont val="Arial"/>
            <family val="2"/>
          </rPr>
          <t xml:space="preserve">DATO DA INSERIRE.
Altezza complessiva getto + nervatura.</t>
        </r>
      </text>
    </comment>
    <comment ref="C15" authorId="0">
      <text>
        <r>
          <rPr>
            <sz val="10"/>
            <rFont val="Arial"/>
            <family val="2"/>
          </rPr>
          <t xml:space="preserve">DATO DA INSERIRE.
Dalla scheda lamiera (es. 55, 75 mm). 0 per soletta piena. EC4: formule kt valide per hp &lt;= 85 mm.</t>
        </r>
      </text>
    </comment>
    <comment ref="C16" authorId="0">
      <text>
        <r>
          <rPr>
            <sz val="10"/>
            <rFont val="Arial"/>
            <family val="2"/>
          </rPr>
          <t xml:space="preserve">DATO DA INSERIRE.
Larghezza media della nervatura riempita di cls (per lamiere a coda di rondine: larghezza minima). Dalla scheda lamiera.</t>
        </r>
      </text>
    </comment>
    <comment ref="C17" authorId="0">
      <text>
        <r>
          <rPr>
            <sz val="10"/>
            <rFont val="Arial"/>
            <family val="2"/>
          </rPr>
          <t xml:space="preserve">DATO DA INSERIRE.
Dalla scheda lamiera (0,7 - 1,25 mm). Influenza kt,max.</t>
        </r>
      </text>
    </comment>
    <comment ref="C18" authorId="0">
      <text>
        <r>
          <rPr>
            <sz val="10"/>
            <rFont val="Arial"/>
            <family val="2"/>
          </rPr>
          <t xml:space="preserve">DATO DA INSERIRE.
SI = saldatura passante (richiede d &lt;= 20 mm, EC4 6.6.5.8(3)). NO = lamiera preforata.</t>
        </r>
      </text>
    </comment>
    <comment ref="C19" authorId="0">
      <text>
        <r>
          <rPr>
            <sz val="10"/>
            <rFont val="Arial"/>
            <family val="2"/>
          </rPr>
          <t xml:space="preserve">RISULTATO.
Formula: h - hp. Solo questa parte collabora a compressione.</t>
        </r>
      </text>
    </comment>
    <comment ref="C23" authorId="0">
      <text>
        <r>
          <rPr>
            <sz val="10"/>
            <rFont val="Arial"/>
            <family val="2"/>
          </rPr>
          <t xml:space="preserve">DATO DA INSERIRE.
Meta' interasse con la trave adiacente, oppure distanza dal bordo libero della soletta per trave di bordo.</t>
        </r>
      </text>
    </comment>
    <comment ref="C24" authorId="0">
      <text>
        <r>
          <rPr>
            <sz val="10"/>
            <rFont val="Arial"/>
            <family val="2"/>
          </rPr>
          <t xml:space="preserve">DATO DA INSERIRE.
Come sopra, lato opposto.</t>
        </r>
      </text>
    </comment>
    <comment ref="C25" authorId="0">
      <text>
        <r>
          <rPr>
            <sz val="10"/>
            <rFont val="Arial"/>
            <family val="2"/>
          </rPr>
          <t xml:space="preserve">CALCOLO AUTOMATICO - non modificare.
Da foglio 05A: (nr - 1) x et. 0 con una fila di pioli.</t>
        </r>
      </text>
    </comment>
    <comment ref="C26" authorId="0">
      <text>
        <r>
          <rPr>
            <sz val="10"/>
            <rFont val="Arial"/>
            <family val="2"/>
          </rPr>
          <t xml:space="preserve">CALCOLO AUTOMATICO - non modificare.
Formula: min(Le/8 ; b1 - b0/2) con Le = L (trave appoggiata).</t>
        </r>
      </text>
    </comment>
    <comment ref="C27" authorId="0">
      <text>
        <r>
          <rPr>
            <sz val="10"/>
            <rFont val="Arial"/>
            <family val="2"/>
          </rPr>
          <t xml:space="preserve">CALCOLO AUTOMATICO - non modificare.
Formula: min(Le/8 ; b2 - b0/2)</t>
        </r>
      </text>
    </comment>
    <comment ref="C28" authorId="0">
      <text>
        <r>
          <rPr>
            <sz val="10"/>
            <rFont val="Arial"/>
            <family val="2"/>
          </rPr>
          <t xml:space="preserve">RISULTATO.
Formula: b0 + be1 + be2 (in mezzeria). Usata per resistenza e rigidezza.</t>
        </r>
      </text>
    </comment>
    <comment ref="C32" authorId="0">
      <text>
        <r>
          <rPr>
            <sz val="10"/>
            <rFont val="Arial"/>
            <family val="2"/>
          </rPr>
          <t xml:space="preserve">DATO DA INSERIRE.
SI se la lamiera e' fissata all'ala (chiodatura/saldatura) e funziona da ritegno: niente svergolamento in fase di getto. NO: il foglio segnala che occorre la verifica flesso-torsionale (EN 1993-1-1 6.3.2) a parte.</t>
        </r>
      </text>
    </comment>
    <comment ref="C36" authorId="0">
      <text>
        <r>
          <rPr>
            <sz val="10"/>
            <rFont val="Arial"/>
            <family val="2"/>
          </rPr>
          <t xml:space="preserve">DATO DA INSERIRE.
Somma delle barre trasversali (superiori + inferiori) per metro di trave che attraversano la superficie di scorrimento ai lati della trave. Es.: phi8/150 = 335 mm2/m; phi10/200 = 393; phi12/200 = 565 mm2/m. Il contributo della lamiera continua (EC4 6.6.6.4) e' trascurato.</t>
        </r>
      </text>
    </comment>
    <comment ref="C37" authorId="0">
      <text>
        <r>
          <rPr>
            <sz val="10"/>
            <rFont val="Arial"/>
            <family val="2"/>
          </rPr>
          <t xml:space="preserve">DATO DA INSERIRE.
EC4 6.6.6.2 / EC2 6.2.4(4): ala compressa 1,0 &lt;= cot &lt;= 2,0. 1,0 e' a favore di sicurezza per l'armatura.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DATO DA INSERIRE.
Larghezza dell'intradosso dove si fissa il profilo (da rilievo).</t>
        </r>
      </text>
    </comment>
    <comment ref="C9" authorId="0">
      <text>
        <r>
          <rPr>
            <sz val="10"/>
            <rFont val="Arial"/>
            <family val="2"/>
          </rPr>
          <t xml:space="preserve">DATO DA INSERIRE.
Dall'intradosso trave all'estradosso della soletta (o della trave se a spessore/emergente senza soletta).</t>
        </r>
      </text>
    </comment>
    <comment ref="C10" authorId="0">
      <text>
        <r>
          <rPr>
            <sz val="10"/>
            <rFont val="Arial"/>
            <family val="2"/>
          </rPr>
          <t xml:space="preserve">DATO DA INSERIRE.
Spessore della soletta piena superiore (es. 40-50 mm nel laterocemento). 0 se assente: la sezione cls diventa rettangolare bw x H.</t>
        </r>
      </text>
    </comment>
    <comment ref="C11" authorId="0">
      <text>
        <r>
          <rPr>
            <sz val="10"/>
            <rFont val="Arial"/>
            <family val="2"/>
          </rPr>
          <t xml:space="preserve">DATO DA INSERIRE.
Meta' interasse con la trave adiacente o distanza dal bordo del solaio.</t>
        </r>
      </text>
    </comment>
    <comment ref="C12" authorId="0">
      <text>
        <r>
          <rPr>
            <sz val="10"/>
            <rFont val="Arial"/>
            <family val="2"/>
          </rPr>
          <t xml:space="preserve">DATO DA INSERIRE.
Come sopra.</t>
        </r>
      </text>
    </comment>
    <comment ref="C13" authorId="0">
      <text>
        <r>
          <rPr>
            <sz val="10"/>
            <rFont val="Arial"/>
            <family val="2"/>
          </rPr>
          <t xml:space="preserve">RISULTATO.
Formula: bw + somma min(L/8 ; bi - bw/2) (EC4 5.4.1.2 con b0 = bw). Se hf = 0 vale bw.</t>
        </r>
      </text>
    </comment>
    <comment ref="C14" authorId="0">
      <text>
        <r>
          <rPr>
            <sz val="10"/>
            <rFont val="Arial"/>
            <family val="2"/>
          </rPr>
          <t xml:space="preserve">DATO DA INSERIRE.
Strato di allettamento per regolarizzare l'intradosso. Se tg &gt; d/2 della barra o malta &lt; 30 MPa, la barra lavora con braccio di leva (EN 1992-4 6.2.2.3) e la resistenza a taglio acciaio si riduce molto.</t>
        </r>
      </text>
    </comment>
    <comment ref="C15" authorId="0">
      <text>
        <r>
          <rPr>
            <sz val="10"/>
            <rFont val="Arial"/>
            <family val="2"/>
          </rPr>
          <t xml:space="preserve">DATO DA INSERIRE.
Condizione EN 1992-4 6.2.2.3 per trascurare il braccio di leva (insieme a tg &lt;= d/2).</t>
        </r>
      </text>
    </comment>
    <comment ref="C19" authorId="0">
      <text>
        <r>
          <rPr>
            <sz val="10"/>
            <rFont val="Arial"/>
            <family val="2"/>
          </rPr>
          <t xml:space="preserve">DATO DA INSERIRE.
Valore medio della resistenza cilindrica in situ (carote: fc,cil). Se si dispone di Rc cubica: fcm ~ 0,83 Rcm. Il valore e' diviso per FC.</t>
        </r>
      </text>
    </comment>
    <comment ref="C20" authorId="0">
      <text>
        <r>
          <rPr>
            <sz val="10"/>
            <rFont val="Arial"/>
            <family val="2"/>
          </rPr>
          <t xml:space="preserve">DATO DA INSERIRE.
Circ. 7/2019 Tab. C8.5.IV: LC1 -&gt; FC 1,35; LC2 -&gt; 1,20; LC3 -&gt; 1,00.</t>
        </r>
      </text>
    </comment>
    <comment ref="C21" authorId="0">
      <text>
        <r>
          <rPr>
            <sz val="10"/>
            <rFont val="Arial"/>
            <family val="2"/>
          </rPr>
          <t xml:space="preserve">CALCOLO AUTOMATICO - non modificare.
Da tabella DB.</t>
        </r>
      </text>
    </comment>
    <comment ref="C22" authorId="0">
      <text>
        <r>
          <rPr>
            <sz val="10"/>
            <rFont val="Arial"/>
            <family val="2"/>
          </rPr>
          <t xml:space="preserve">RISULTATO.
Resistenza usata per sezione composta e ancoranti (al posto di fck).</t>
        </r>
      </text>
    </comment>
    <comment ref="C23" authorId="0">
      <text>
        <r>
          <rPr>
            <sz val="10"/>
            <rFont val="Arial"/>
            <family val="2"/>
          </rPr>
          <t xml:space="preserve">DATO DA INSERIRE.
SI: G2 e' gia' portato dalla trave c.a. esistente (non grava sulla composta salvo puntellamento/martinettatura). NO: G2 viene applicato dopo il rinforzo e grava sulla composta.</t>
        </r>
      </text>
    </comment>
    <comment ref="C24" authorId="0">
      <text>
        <r>
          <rPr>
            <sz val="10"/>
            <rFont val="Arial"/>
            <family val="2"/>
          </rPr>
          <t xml:space="preserve">DATO DA INSERIRE.
SOLO SUCCESSIVI: la trave NON viene scaricata prima del collegamento; i carichi gia' presenti (G1 e, se gia' presenti, G2) restano sulla trave c.a. esistente (da verificare a parte) e la composta (profilo + inghisaggi) porta solo i carichi applicati dopo. TUTTI: la trave viene puntellata/martinettata e poi rilasciata a collegamento avvenuto, oppure si vuole un calcolo cautelativo: tutto il carico su profilo e connessione.</t>
        </r>
      </text>
    </comment>
    <comment ref="C25" authorId="0">
      <text>
        <r>
          <rPr>
            <sz val="10"/>
            <rFont val="Arial"/>
            <family val="2"/>
          </rPr>
          <t xml:space="preserve">RISULTATO.
Il profilo deve appoggiare interamente sotto l'intradosso.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CALCOLO AUTOMATICO - non modificare.
Sc.1: beff soletta. Sc.2: beff soletta collaborante (o bw).</t>
        </r>
      </text>
    </comment>
    <comment ref="C9" authorId="0">
      <text>
        <r>
          <rPr>
            <sz val="10"/>
            <rFont val="Arial"/>
            <family val="2"/>
          </rPr>
          <t xml:space="preserve">CALCOLO AUTOMATICO - non modificare.
Sc.1: hc = h - hp. Sc.2: hf.</t>
        </r>
      </text>
    </comment>
    <comment ref="C10" authorId="0">
      <text>
        <r>
          <rPr>
            <sz val="10"/>
            <rFont val="Arial"/>
            <family val="2"/>
          </rPr>
          <t xml:space="preserve">CALCOLO AUTOMATICO - non modificare.
Sc.1: 0 (nervature trascurate). Sc.2: bw.</t>
        </r>
      </text>
    </comment>
    <comment ref="C11" authorId="0">
      <text>
        <r>
          <rPr>
            <sz val="10"/>
            <rFont val="Arial"/>
            <family val="2"/>
          </rPr>
          <t xml:space="preserve">CALCOLO AUTOMATICO - non modificare.
Sc.1: hp. Sc.2: H - hf.</t>
        </r>
      </text>
    </comment>
    <comment ref="C13" authorId="0">
      <text>
        <r>
          <rPr>
            <sz val="10"/>
            <rFont val="Arial"/>
            <family val="2"/>
          </rPr>
          <t xml:space="preserve">CALCOLO AUTOMATICO - non modificare.
Distanza dall'estradosso cls al lembo superiore del profilo.</t>
        </r>
      </text>
    </comment>
    <comment ref="C33" authorId="0">
      <text>
        <r>
          <rPr>
            <sz val="10"/>
            <rFont val="Arial"/>
            <family val="2"/>
          </rPr>
          <t xml:space="preserve">RISULTATO.
Se nell'anima, controllare la classe dell'anima (sotto).</t>
        </r>
      </text>
    </comment>
    <comment ref="C34" authorId="0">
      <text>
        <r>
          <rPr>
            <sz val="10"/>
            <rFont val="Arial"/>
            <family val="2"/>
          </rPr>
          <t xml:space="preserve">RISULTATO.
Formula: risultante di compressione nel cls = min(Rc ; Ra) (dispensa eq. 7.5). Da trasferire con i connettori tra appoggio e mezzeria.</t>
        </r>
      </text>
    </comment>
    <comment ref="C35" authorId="0">
      <text>
        <r>
          <rPr>
            <sz val="10"/>
            <rFont val="Arial"/>
            <family val="2"/>
          </rPr>
          <t xml:space="preserve">CALCOLO AUTOMATICO - non modificare.
Formula: somma fcd x area cls collaborante</t>
        </r>
      </text>
    </comment>
    <comment ref="C36" authorId="0">
      <text>
        <r>
          <rPr>
            <sz val="10"/>
            <rFont val="Arial"/>
            <family val="2"/>
          </rPr>
          <t xml:space="preserve">RISULTATO.
Connessione completa (eta = 1).</t>
        </r>
      </text>
    </comment>
    <comment ref="C37" authorId="0">
      <text>
        <r>
          <rPr>
            <sz val="10"/>
            <rFont val="Arial"/>
            <family val="2"/>
          </rPr>
          <t xml:space="preserve">CALCOLO AUTOMATICO - non modificare.
Incremento di resistenza dovuto alla collaborazione (dispensa: tipicamente 1,25-2).</t>
        </r>
      </text>
    </comment>
    <comment ref="C42" authorId="0">
      <text>
        <r>
          <rPr>
            <sz val="10"/>
            <rFont val="Arial"/>
            <family val="2"/>
          </rPr>
          <t xml:space="preserve">CALCOLO AUTOMATICO - non modificare.
0 se l'asse neutro e' sopra l'anima (anima tutta tesa).</t>
        </r>
      </text>
    </comment>
    <comment ref="C43" authorId="0">
      <text>
        <r>
          <rPr>
            <sz val="10"/>
            <rFont val="Arial"/>
            <family val="2"/>
          </rPr>
          <t xml:space="preserve">CALCOLO AUTOMATICO - non modificare.
EN 1993-1-1 Tab. 5.2: alfa&gt;0,5 -&gt; 456eps/(13alfa-1); alfa&lt;=0,5 -&gt; 41,5eps/alfa.</t>
        </r>
      </text>
    </comment>
    <comment ref="C57" authorId="0">
      <text>
        <r>
          <rPr>
            <sz val="10"/>
            <rFont val="Arial"/>
            <family val="2"/>
          </rPr>
          <t xml:space="preserve">CALCOLO AUTOMATICO - non modificare.
(b1/2n) x^2 + Aa x - Aa ys = 0</t>
        </r>
      </text>
    </comment>
    <comment ref="C60" authorId="0">
      <text>
        <r>
          <rPr>
            <sz val="10"/>
            <rFont val="Arial"/>
            <family val="2"/>
          </rPr>
          <t xml:space="preserve">CALCOLO AUTOMATICO - non modificare.
(b2/2n) u^2 + B u + S0 = 0</t>
        </r>
      </text>
    </comment>
    <comment ref="C65" authorId="0">
      <text>
        <r>
          <rPr>
            <sz val="10"/>
            <rFont val="Arial"/>
            <family val="2"/>
          </rPr>
          <t xml:space="preserve">RISULTATO.
Dispensa eq. 3.2 / 3.4 generalizzate.</t>
        </r>
      </text>
    </comment>
    <comment ref="C66" authorId="0">
      <text>
        <r>
          <rPr>
            <sz val="10"/>
            <rFont val="Arial"/>
            <family val="2"/>
          </rPr>
          <t xml:space="preserve">CALCOLO AUTOMATICO - non modificare.
Formula: Aa (ys - x) = momento statico della parte sopra l'interfaccia.</t>
        </r>
      </text>
    </comment>
    <comment ref="C68" authorId="0">
      <text>
        <r>
          <rPr>
            <sz val="10"/>
            <rFont val="Arial"/>
            <family val="2"/>
          </rPr>
          <t xml:space="preserve">CALCOLO AUTOMATICO - non modificare.
Incremento di rigidezza (dispensa: fino a ~3).</t>
        </r>
      </text>
    </comment>
    <comment ref="C72" authorId="0">
      <text>
        <r>
          <rPr>
            <sz val="10"/>
            <rFont val="Arial"/>
            <family val="2"/>
          </rPr>
          <t xml:space="preserve">CALCOLO AUTOMATICO - non modificare.
(b1/2n) x^2 + Aa x - Aa ys = 0</t>
        </r>
      </text>
    </comment>
    <comment ref="C75" authorId="0">
      <text>
        <r>
          <rPr>
            <sz val="10"/>
            <rFont val="Arial"/>
            <family val="2"/>
          </rPr>
          <t xml:space="preserve">CALCOLO AUTOMATICO - non modificare.
(b2/2n) u^2 + B u + S0 = 0</t>
        </r>
      </text>
    </comment>
    <comment ref="C80" authorId="0">
      <text>
        <r>
          <rPr>
            <sz val="10"/>
            <rFont val="Arial"/>
            <family val="2"/>
          </rPr>
          <t xml:space="preserve">RISULTATO.
Dispensa eq. 3.2 / 3.4 generalizzate.</t>
        </r>
      </text>
    </comment>
    <comment ref="C81" authorId="0">
      <text>
        <r>
          <rPr>
            <sz val="10"/>
            <rFont val="Arial"/>
            <family val="2"/>
          </rPr>
          <t xml:space="preserve">CALCOLO AUTOMATICO - non modificare.
Formula: Aa (ys - x) = momento statico della parte sopra l'interfaccia.</t>
        </r>
      </text>
    </comment>
    <comment ref="C83" authorId="0">
      <text>
        <r>
          <rPr>
            <sz val="10"/>
            <rFont val="Arial"/>
            <family val="2"/>
          </rPr>
          <t xml:space="preserve">CALCOLO AUTOMATICO - non modificare.
Incremento di rigidezza (dispensa: fino a ~3).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CALCOLO AUTOMATICO - non modificare.
Sc.1: da 05A. Sc.2: da 05B (con criterio PLASTICA; con ELASTICA e' solo indicativo).</t>
        </r>
      </text>
    </comment>
    <comment ref="C9" authorId="0">
      <text>
        <r>
          <rPr>
            <sz val="10"/>
            <rFont val="Arial"/>
            <family val="2"/>
          </rPr>
          <t xml:space="preserve">RISULTATO.
eta&gt;=1: Mpl,Rd. Sc.1 con eta&lt;1 (pioli duttili): MRd = Mpl,a + eta (Mpl - Mpl,a) (EC4 6.2.1.3(5), dispensa eq. 7.8). Sc.2 con eta&lt;1: connessione parziale NON ammessa con ancoranti non duttili -&gt; si assume la sola trave in acciaio.</t>
        </r>
      </text>
    </comment>
    <comment ref="C10" authorId="0">
      <text>
        <r>
          <rPr>
            <sz val="10"/>
            <rFont val="Arial"/>
            <family val="2"/>
          </rPr>
          <t xml:space="preserve">RISULTATO.
Se la sezione non e' di classe 1-2 il calcolo plastico non e' ammesso (rapporto forzato a 99).</t>
        </r>
      </text>
    </comment>
    <comment ref="C11" authorId="0">
      <text>
        <r>
          <rPr>
            <sz val="10"/>
            <rFont val="Arial"/>
            <family val="2"/>
          </rPr>
          <t xml:space="preserve">RISULTATO.
Sc.2 con criterio ELASTICA: vale la verifica tensionale sotto.</t>
        </r>
      </text>
    </comment>
    <comment ref="C12" authorId="0">
      <text>
        <r>
          <rPr>
            <sz val="10"/>
            <rFont val="Arial"/>
            <family val="2"/>
          </rPr>
          <t xml:space="preserve">CALCOLO AUTOMATICO - non modificare.
EC4 6.6.1.2(1) ali uguali, Le&lt;=25 m: eta &gt;= 1 - (355/fy)(0,75 - 0,03 Le) e &gt;= 0,4. Per ali disuguali vedere EC4 6.6.1.2(1) seconda formula.</t>
        </r>
      </text>
    </comment>
    <comment ref="C17" authorId="0">
      <text>
        <r>
          <rPr>
            <sz val="10"/>
            <rFont val="Arial"/>
            <family val="2"/>
          </rPr>
          <t xml:space="preserve">RISULTATO.
Taglio interamente affidato al profilo.</t>
        </r>
      </text>
    </comment>
    <comment ref="C19" authorId="0">
      <text>
        <r>
          <rPr>
            <sz val="10"/>
            <rFont val="Arial"/>
            <family val="2"/>
          </rPr>
          <t xml:space="preserve">RISULTATO.
Per trave appoggiata con carico uniforme M max e V max non coincidono: generalmente trascurabile.</t>
        </r>
      </text>
    </comment>
    <comment ref="C23" authorId="0">
      <text>
        <r>
          <rPr>
            <sz val="10"/>
            <rFont val="Arial"/>
            <family val="2"/>
          </rPr>
          <t xml:space="preserve">RISULTATO.
Formula: VEd,G S(nL)/Jid(nL) + VEd,Q S(n0)/Jid(n0), con i soli carichi applicati alla sezione composta (Jourawski).</t>
        </r>
      </text>
    </comment>
    <comment ref="C24" authorId="0">
      <text>
        <r>
          <rPr>
            <sz val="10"/>
            <rFont val="Arial"/>
            <family val="2"/>
          </rPr>
          <t xml:space="preserve">RISULTATO.
Formula: MEd S / Jid (risultante delle compressioni nel cls in mezzeria, dispensa eq. 7.2: V = M/z).</t>
        </r>
      </text>
    </comment>
    <comment ref="C28" authorId="0">
      <text>
        <r>
          <rPr>
            <sz val="10"/>
            <rFont val="Arial"/>
            <family val="2"/>
          </rPr>
          <t xml:space="preserve">RISULTATO.
Ma,Rd = Mpl,a (classe 1-2) o Mel,a (classe 3).</t>
        </r>
      </text>
    </comment>
    <comment ref="C36" authorId="0">
      <text>
        <r>
          <rPr>
            <sz val="10"/>
            <rFont val="Arial"/>
            <family val="2"/>
          </rPr>
          <t xml:space="preserve">CALCOLO AUTOMATICO - non modificare.
Formula: M_G1/Wa (sc.1 non puntellata) + (quote di G1, G2 sulla composta) / Wi(nL) + M_Q / Wi(n0). Sc.2 'SOLO SUCCESSIVI': il profilo non e' sollecitato dai carichi gia' presenti.</t>
        </r>
      </text>
    </comment>
    <comment ref="C37" authorId="0">
      <text>
        <r>
          <rPr>
            <sz val="10"/>
            <rFont val="Arial"/>
            <family val="2"/>
          </rPr>
          <t xml:space="preserve">CALCOLO AUTOMATICO - non modificare.
Formula: M x / (n Jid) per ciascuna aliquota applicata alla composta (sc.2: escluse le tensioni gia' presenti nella trave esistente)</t>
        </r>
      </text>
    </comment>
    <comment ref="C40" authorId="0">
      <text>
        <r>
          <rPr>
            <sz val="10"/>
            <rFont val="Arial"/>
            <family val="2"/>
          </rPr>
          <t xml:space="preserve">RISULTATO.
Per sc.1 e sc.2-PLASTICA i valori sono informativi (vale la verifica plastica).</t>
        </r>
      </text>
    </comment>
    <comment ref="C41" authorId="0">
      <text>
        <r>
          <rPr>
            <sz val="10"/>
            <rFont val="Arial"/>
            <family val="2"/>
          </rPr>
          <t xml:space="preserve">RISULTATO.
Sc.2: la tensione nel cls si somma a quella gia' presente per i carichi esistenti: verificare la trave c.a. a parte.</t>
        </r>
      </text>
    </comment>
    <comment ref="C45" authorId="0">
      <text>
        <r>
          <rPr>
            <sz val="10"/>
            <rFont val="Arial"/>
            <family val="2"/>
          </rPr>
          <t xml:space="preserve">CALCOLO AUTOMATICO - non modificare.
Sc.1 non puntellata: sulla sola trave in acciaio (Ia); puntellata: sulla composta (nL). Sc.2: 0 se 'SOLO SUCCESSIVI' (gia' avvenuta), sulla composta se 'TUTTI'.</t>
        </r>
      </text>
    </comment>
    <comment ref="C46" authorId="0">
      <text>
        <r>
          <rPr>
            <sz val="10"/>
            <rFont val="Arial"/>
            <family val="2"/>
          </rPr>
          <t xml:space="preserve">CALCOLO AUTOMATICO - non modificare.
Sulla composta con nL (0 se G2 gia' presente e non trasferito, sc.2).</t>
        </r>
      </text>
    </comment>
    <comment ref="C47" authorId="0">
      <text>
        <r>
          <rPr>
            <sz val="10"/>
            <rFont val="Arial"/>
            <family val="2"/>
          </rPr>
          <t xml:space="preserve">CALCOLO AUTOMATICO - non modificare.
Sulla composta con n0.</t>
        </r>
      </text>
    </comment>
    <comment ref="C48" authorId="0">
      <text>
        <r>
          <rPr>
            <sz val="10"/>
            <rFont val="Arial"/>
            <family val="2"/>
          </rPr>
          <t xml:space="preserve">RISULTATO.
Non include contromonta.</t>
        </r>
      </text>
    </comment>
    <comment ref="C53" authorId="0">
      <text>
        <r>
          <rPr>
            <sz val="10"/>
            <rFont val="Arial"/>
            <family val="2"/>
          </rPr>
          <t xml:space="preserve">CALCOLO AUTOMATICO - non modificare.
G1 + G2 + psi2 Q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DATO DA INSERIRE.
Diametri commerciali 13-16-19-22-25 mm. Saldatura passante attraverso lamiera: d &lt;= 20 mm (EC4 6.6.5.8(3)). EC4 6.6.3.1: 16 &lt;= d &lt;= 25.</t>
        </r>
      </text>
    </comment>
    <comment ref="C9" authorId="0">
      <text>
        <r>
          <rPr>
            <sz val="10"/>
            <rFont val="Arial"/>
            <family val="2"/>
          </rPr>
          <t xml:space="preserve">DATO DA INSERIRE.
Altezza complessiva dopo saldatura (circa 5 mm meno della lunghezza nominale). Con lamiera: hsc &gt;= hp + 2d.</t>
        </r>
      </text>
    </comment>
    <comment ref="C10" authorId="0">
      <text>
        <r>
          <rPr>
            <sz val="10"/>
            <rFont val="Arial"/>
            <family val="2"/>
          </rPr>
          <t xml:space="preserve">DATO DA INSERIRE.
Tipicamente 450 MPa (S235J2+C450). Limitata a 500 MPa (450 con lamiera trasversale) nel calcolo.</t>
        </r>
      </text>
    </comment>
    <comment ref="C11" authorId="0">
      <text>
        <r>
          <rPr>
            <sz val="10"/>
            <rFont val="Arial"/>
            <family val="2"/>
          </rPr>
          <t xml:space="preserve">DATO DA INSERIRE.
1 o 2 (EC4 kt per nr &lt;= 2).</t>
        </r>
      </text>
    </comment>
    <comment ref="C12" authorId="0">
      <text>
        <r>
          <rPr>
            <sz val="10"/>
            <rFont val="Arial"/>
            <family val="2"/>
          </rPr>
          <t xml:space="preserve">DATO DA INSERIRE.
Solo se nr = 2: &gt;= 4d (con lamiera) o 2,5d (soletta piena). Con nr = 1 lasciare 0.</t>
        </r>
      </text>
    </comment>
    <comment ref="C13" authorId="0">
      <text>
        <r>
          <rPr>
            <sz val="10"/>
            <rFont val="Arial"/>
            <family val="2"/>
          </rPr>
          <t xml:space="preserve">DATO DA INSERIRE.
Con lamiera trasversale: multiplo del passo delle greche (es. 150, 300 mm). Limiti: s &gt;= 5d; s &lt;= min(6h ; 800).</t>
        </r>
      </text>
    </comment>
    <comment ref="C14" authorId="0">
      <text>
        <r>
          <rPr>
            <sz val="10"/>
            <rFont val="Arial"/>
            <family val="2"/>
          </rPr>
          <t xml:space="preserve">DATO DA INSERIRE.
NTC 4.3.4.3.1.2 / EC4: 1,25.</t>
        </r>
      </text>
    </comment>
    <comment ref="C18" authorId="0">
      <text>
        <r>
          <rPr>
            <sz val="10"/>
            <rFont val="Arial"/>
            <family val="2"/>
          </rPr>
          <t xml:space="preserve">CALCOLO AUTOMATICO - non modificare.
EC4 6.6.3.1 (&lt;=500) e 6.6.4.2(2) (&lt;=450 con lamiera trasversale).</t>
        </r>
      </text>
    </comment>
    <comment ref="C19" authorId="0">
      <text>
        <r>
          <rPr>
            <sz val="10"/>
            <rFont val="Arial"/>
            <family val="2"/>
          </rPr>
          <t xml:space="preserve">CALCOLO AUTOMATICO - non modificare.
&gt;= 3 obbligatorio.</t>
        </r>
      </text>
    </comment>
    <comment ref="C20" authorId="0">
      <text>
        <r>
          <rPr>
            <sz val="10"/>
            <rFont val="Arial"/>
            <family val="2"/>
          </rPr>
          <t xml:space="preserve">CALCOLO AUTOMATICO - non modificare.
Formula: 0,2 (hsc/d + 1) per 3&lt;=hsc/d&lt;=4; = 1 per hsc/d &gt; 4</t>
        </r>
      </text>
    </comment>
    <comment ref="C21" authorId="0">
      <text>
        <r>
          <rPr>
            <sz val="10"/>
            <rFont val="Arial"/>
            <family val="2"/>
          </rPr>
          <t xml:space="preserve">CALCOLO AUTOMATICO - non modificare.
Formula: 0,8 fu (pi d^2/4) / gV  (dispensa eq. 7.3)</t>
        </r>
      </text>
    </comment>
    <comment ref="C22" authorId="0">
      <text>
        <r>
          <rPr>
            <sz val="10"/>
            <rFont val="Arial"/>
            <family val="2"/>
          </rPr>
          <t xml:space="preserve">CALCOLO AUTOMATICO - non modificare.
Formula: 0,29 alfa d^2 sqrt(fck Ecm) / gV  (dispensa eq. 7.4)</t>
        </r>
      </text>
    </comment>
    <comment ref="C27" authorId="0">
      <text>
        <r>
          <rPr>
            <sz val="10"/>
            <rFont val="Arial"/>
            <family val="2"/>
          </rPr>
          <t xml:space="preserve">CALCOLO AUTOMATICO - non modificare.
EC4 6.6.4.1: hsc &lt;= hp + 75 mm.</t>
        </r>
      </text>
    </comment>
    <comment ref="C28" authorId="0">
      <text>
        <r>
          <rPr>
            <sz val="10"/>
            <rFont val="Arial"/>
            <family val="2"/>
          </rPr>
          <t xml:space="preserve">CALCOLO AUTOMATICO - non modificare.
EC4 eq. 6.22: 0,6 (b0/hp)(hsc/hp - 1) &lt;= 1</t>
        </r>
      </text>
    </comment>
    <comment ref="C29" authorId="0">
      <text>
        <r>
          <rPr>
            <sz val="10"/>
            <rFont val="Arial"/>
            <family val="2"/>
          </rPr>
          <t xml:space="preserve">CALCOLO AUTOMATICO - non modificare.
EC4 Tab. 6.2 (foglio DB).</t>
        </r>
      </text>
    </comment>
    <comment ref="C30" authorId="0">
      <text>
        <r>
          <rPr>
            <sz val="10"/>
            <rFont val="Arial"/>
            <family val="2"/>
          </rPr>
          <t xml:space="preserve">CALCOLO AUTOMATICO - non modificare.
EC4 eq. 6.23: 0,7/sqrt(nr) (b0/hp)(hsc/hp - 1) &lt;= kt,max</t>
        </r>
      </text>
    </comment>
    <comment ref="C32" authorId="0">
      <text>
        <r>
          <rPr>
            <sz val="10"/>
            <rFont val="Arial"/>
            <family val="2"/>
          </rPr>
          <t xml:space="preserve">RISULTATO.
Formula: k PRd</t>
        </r>
      </text>
    </comment>
    <comment ref="C36" authorId="0">
      <text>
        <r>
          <rPr>
            <sz val="10"/>
            <rFont val="Arial"/>
            <family val="2"/>
          </rPr>
          <t xml:space="preserve">RISULTATO.
Formula: Ncf / PRd,red  (dispensa: np = V / PRd)</t>
        </r>
      </text>
    </comment>
    <comment ref="C37" authorId="0">
      <text>
        <r>
          <rPr>
            <sz val="10"/>
            <rFont val="Arial"/>
            <family val="2"/>
          </rPr>
          <t xml:space="preserve">RISULTATO.
Formula: nr x int(L/2 / s)</t>
        </r>
      </text>
    </comment>
    <comment ref="C38" authorId="0">
      <text>
        <r>
          <rPr>
            <sz val="10"/>
            <rFont val="Arial"/>
            <family val="2"/>
          </rPr>
          <t xml:space="preserve">RISULTATO.
&gt;= 1 connessione completa; &lt; 1 parziale (ammessa se &gt;= eta,min, foglio 04).</t>
        </r>
      </text>
    </comment>
    <comment ref="C40" authorId="0">
      <text>
        <r>
          <rPr>
            <sz val="10"/>
            <rFont val="Arial"/>
            <family val="2"/>
          </rPr>
          <t xml:space="preserve">CALCOLO AUTOMATICO - non modificare.
Da foglio 04. Con pioli duttili il passo costante e' ammesso (EC4 6.6.1.3(3)): valore informativo.</t>
        </r>
      </text>
    </comment>
    <comment ref="C45" authorId="0">
      <text>
        <r>
          <rPr>
            <sz val="10"/>
            <rFont val="Arial"/>
            <family val="2"/>
          </rPr>
          <t xml:space="preserve">RISULTATO.
EC4 6.6.5.7(1)</t>
        </r>
      </text>
    </comment>
    <comment ref="C46" authorId="0">
      <text>
        <r>
          <rPr>
            <sz val="10"/>
            <rFont val="Arial"/>
            <family val="2"/>
          </rPr>
          <t xml:space="preserve">RISULTATO.
EC4 6.6.5.8(1): il piolo deve sporgere almeno 2d sopra la lamiera.</t>
        </r>
      </text>
    </comment>
    <comment ref="C47" authorId="0">
      <text>
        <r>
          <rPr>
            <sz val="10"/>
            <rFont val="Arial"/>
            <family val="2"/>
          </rPr>
          <t xml:space="preserve">RISULTATO.
EC4 6.6.5.8(3)</t>
        </r>
      </text>
    </comment>
    <comment ref="C48" authorId="0">
      <text>
        <r>
          <rPr>
            <sz val="10"/>
            <rFont val="Arial"/>
            <family val="2"/>
          </rPr>
          <t xml:space="preserve">RISULTATO.
EC4 6.6.5.7(5)</t>
        </r>
      </text>
    </comment>
    <comment ref="C49" authorId="0">
      <text>
        <r>
          <rPr>
            <sz val="10"/>
            <rFont val="Arial"/>
            <family val="2"/>
          </rPr>
          <t xml:space="preserve">RISULTATO.
EC4 6.6.5.7(4)</t>
        </r>
      </text>
    </comment>
    <comment ref="C50" authorId="0">
      <text>
        <r>
          <rPr>
            <sz val="10"/>
            <rFont val="Arial"/>
            <family val="2"/>
          </rPr>
          <t xml:space="preserve">RISULTATO.
EC4 6.6.5.5(3)</t>
        </r>
      </text>
    </comment>
    <comment ref="C51" authorId="0">
      <text>
        <r>
          <rPr>
            <sz val="10"/>
            <rFont val="Arial"/>
            <family val="2"/>
          </rPr>
          <t xml:space="preserve">RISULTATO.
EC4 6.6.5.7(4): 2,5d soletta piena, 4d altrimenti.</t>
        </r>
      </text>
    </comment>
    <comment ref="C52" authorId="0">
      <text>
        <r>
          <rPr>
            <sz val="10"/>
            <rFont val="Arial"/>
            <family val="2"/>
          </rPr>
          <t xml:space="preserve">RISULTATO.
EC4 6.6.5.6(2)</t>
        </r>
      </text>
    </comment>
    <comment ref="C53" authorId="0">
      <text>
        <r>
          <rPr>
            <sz val="10"/>
            <rFont val="Arial"/>
            <family val="2"/>
          </rPr>
          <t xml:space="preserve">RISULTATO.
EC4 6.6.5.5(2) soletta piena; con lamiera 15 tf eps.</t>
        </r>
      </text>
    </comment>
    <comment ref="C57" authorId="0">
      <text>
        <r>
          <rPr>
            <sz val="10"/>
            <rFont val="Arial"/>
            <family val="2"/>
          </rPr>
          <t xml:space="preserve">CALCOLO AUTOMATICO - non modificare.
Formula: eta Ncf x be,i / beff (lato piu' largo)</t>
        </r>
      </text>
    </comment>
    <comment ref="C58" authorId="0">
      <text>
        <r>
          <rPr>
            <sz val="10"/>
            <rFont val="Arial"/>
            <family val="2"/>
          </rPr>
          <t xml:space="preserve">CALCOLO AUTOMATICO - non modificare.
Formula: dF / (hc x L/2); contributo lamiera trascurato (come nella dispensa).</t>
        </r>
      </text>
    </comment>
    <comment ref="C59" authorId="0">
      <text>
        <r>
          <rPr>
            <sz val="10"/>
            <rFont val="Arial"/>
            <family val="2"/>
          </rPr>
          <t xml:space="preserve">RISULTATO.
Formula: vEd hc / (fyd cot theta)</t>
        </r>
      </text>
    </comment>
    <comment ref="C62" authorId="0">
      <text>
        <r>
          <rPr>
            <sz val="10"/>
            <rFont val="Arial"/>
            <family val="2"/>
          </rPr>
          <t xml:space="preserve">CALCOLO AUTOMATICO - non modificare.
Formula: nu fcd sin(theta) cos(theta), nu = 0,6 (1 - fck/250)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DATO DA INSERIRE.
ELASTICA (consigliato): gli ancoranti trasferiscono la forza di scorrimento elastica F = MEd S/Jid e il flusso VEd S/Jid; la flessione si verifica a tensioni (foglio 04). PLASTICA: gli ancoranti devono trasferire la piena forza plastica Ncf (eta &gt;= 1) e la flessione si verifica con Mpl,Rd. Connessione parziale non ammessa (ancoranti non duttili, EC4 6.6.1.1).</t>
        </r>
      </text>
    </comment>
    <comment ref="C12" authorId="0">
      <text>
        <r>
          <rPr>
            <sz val="10"/>
            <rFont val="Arial"/>
            <family val="2"/>
          </rPr>
          <t xml:space="preserve">DATO DA INSERIRE.
Diametro nominale. Il diametro deve essere coperto dall'ETA dell'ancorante chimico.</t>
        </r>
      </text>
    </comment>
    <comment ref="C13" authorId="0">
      <text>
        <r>
          <rPr>
            <sz val="10"/>
            <rFont val="Arial"/>
            <family val="2"/>
          </rPr>
          <t xml:space="preserve">DATO DA INSERIRE.
5.8 / 8.8 (zincate) o A4-70 inox. Classi con allungamento A &gt;= 8% (duttili, k7 = 1).</t>
        </r>
      </text>
    </comment>
    <comment ref="C14" authorId="0">
      <text>
        <r>
          <rPr>
            <sz val="10"/>
            <rFont val="Arial"/>
            <family val="2"/>
          </rPr>
          <t xml:space="preserve">DATO DA INSERIRE.
Da progetto, entro il campo ammesso dall'ETA (tipicamente 8d - 20d).</t>
        </r>
      </text>
    </comment>
    <comment ref="C15" authorId="0">
      <text>
        <r>
          <rPr>
            <sz val="10"/>
            <rFont val="Arial"/>
            <family val="2"/>
          </rPr>
          <t xml:space="preserve">DATO DA INSERIRE.
DA ETA del prodotto: tau_Rk,cr per il diametro, la classe del cls (gia' moltiplicata per psi_c) e il campo di temperatura. Valore di esempio: SOSTITUIRE.</t>
        </r>
      </text>
    </comment>
    <comment ref="C16" authorId="0">
      <text>
        <r>
          <rPr>
            <sz val="10"/>
            <rFont val="Arial"/>
            <family val="2"/>
          </rPr>
          <t xml:space="preserve">DATO DA INSERIRE.
EN 1992-4 7.2.1.6: 1,0 se alfa_sus &lt;= psi0_sus (da ETA); altrimenti psi_sus = psi0_sus + 1 - alfa_sus.</t>
        </r>
      </text>
    </comment>
    <comment ref="C17" authorId="0">
      <text>
        <r>
          <rPr>
            <sz val="10"/>
            <rFont val="Arial"/>
            <family val="2"/>
          </rPr>
          <t xml:space="preserve">DATO DA INSERIRE.
Da ETA (1,0 / 1,2 / 1,4). gamma_Mc = gamma_Mp = 1,5 gamma_inst a trazione; a taglio gamma_inst = 1,0.</t>
        </r>
      </text>
    </comment>
    <comment ref="C18" authorId="0">
      <text>
        <r>
          <rPr>
            <sz val="10"/>
            <rFont val="Arial"/>
            <family val="2"/>
          </rPr>
          <t xml:space="preserve">DATO DA INSERIRE.
Da ETA (di norma 2,0).</t>
        </r>
      </text>
    </comment>
    <comment ref="C19" authorId="0">
      <text>
        <r>
          <rPr>
            <sz val="10"/>
            <rFont val="Arial"/>
            <family val="2"/>
          </rPr>
          <t xml:space="preserve">DATO DA INSERIRE.
FESSURATO a favore di sicurezza (zone tese/intradosso). NON FESSURATO solo se dimostrato (EN 1992-4 4.6).</t>
        </r>
      </text>
    </comment>
    <comment ref="C20" authorId="0">
      <text>
        <r>
          <rPr>
            <sz val="10"/>
            <rFont val="Arial"/>
            <family val="2"/>
          </rPr>
          <t xml:space="preserve">DATO DA INSERIRE.
EN 1992-4 7.2.2.5: STANDARD = 1,0; 1,4 se c'e' armatura di bordo phi&gt;=12 con staffe a passo &lt;= 100 mm.</t>
        </r>
      </text>
    </comment>
    <comment ref="C21" authorId="0">
      <text>
        <r>
          <rPr>
            <sz val="10"/>
            <rFont val="Arial"/>
            <family val="2"/>
          </rPr>
          <t xml:space="preserve">DATO DA INSERIRE.
EN 1992-4 7.2.1.4(5): SI -&gt; psi_re,N = 0,5 + hef/200 &lt;= 1 (zone con staffe ravvicinate). NO -&gt; 1,0.</t>
        </r>
      </text>
    </comment>
    <comment ref="C22" authorId="0">
      <text>
        <r>
          <rPr>
            <sz val="10"/>
            <rFont val="Arial"/>
            <family val="2"/>
          </rPr>
          <t xml:space="preserve">DATO DA INSERIRE.
Da ETA del prodotto per il diametro scelto.</t>
        </r>
      </text>
    </comment>
    <comment ref="C23" authorId="0">
      <text>
        <r>
          <rPr>
            <sz val="10"/>
            <rFont val="Arial"/>
            <family val="2"/>
          </rPr>
          <t xml:space="preserve">DATO DA INSERIRE.
Da ETA del prodotto per il diametro scelto.</t>
        </r>
      </text>
    </comment>
    <comment ref="C24" authorId="0">
      <text>
        <r>
          <rPr>
            <sz val="10"/>
            <rFont val="Arial"/>
            <family val="2"/>
          </rPr>
          <t xml:space="preserve">DATO DA INSERIRE.
Foro di passaggio nell'acciaio (es. d + 2). I fori vanno riempiti (resina/rondella di riempimento) per far collaborare tutti gli ancoranti a taglio.</t>
        </r>
      </text>
    </comment>
    <comment ref="C25" authorId="0">
      <text>
        <r>
          <rPr>
            <sz val="10"/>
            <rFont val="Arial"/>
            <family val="2"/>
          </rPr>
          <t xml:space="preserve">DATO DA INSERIRE.
EN 1992-4 6.2.2.3: 1,0 rotazione libera (a favore di sicurezza); 2,0 piatto impedito di ruotare.</t>
        </r>
      </text>
    </comment>
    <comment ref="C29" authorId="0">
      <text>
        <r>
          <rPr>
            <sz val="10"/>
            <rFont val="Arial"/>
            <family val="2"/>
          </rPr>
          <t xml:space="preserve">DATO DA INSERIRE.
2 (consigliato): una barra per lato dell'anima. 1: barre sfalsate alternativamente ai due lati (indicare in et lo sfalsamento).</t>
        </r>
      </text>
    </comment>
    <comment ref="C30" authorId="0">
      <text>
        <r>
          <rPr>
            <sz val="10"/>
            <rFont val="Arial"/>
            <family val="2"/>
          </rPr>
          <t xml:space="preserve">DATO DA INSERIRE.
Distanza tra le due barre di una sezione. Deve lasciare spazio a anima + raccordi + dado: et &gt;= tw + 2r + 2d (controllo sotto).</t>
        </r>
      </text>
    </comment>
    <comment ref="C31" authorId="0">
      <text>
        <r>
          <rPr>
            <sz val="10"/>
            <rFont val="Arial"/>
            <family val="2"/>
          </rPr>
          <t xml:space="preserve">DATO DA INSERIRE.
Passo costante delle sezioni di ancoraggio lungo la trave. Vedere 'passo massimo ammissibile' nei risultati.</t>
        </r>
      </text>
    </comment>
    <comment ref="C32" authorId="0">
      <text>
        <r>
          <rPr>
            <sz val="10"/>
            <rFont val="Arial"/>
            <family val="2"/>
          </rPr>
          <t xml:space="preserve">DATO DA INSERIRE.
Trazione associata per contrastare il distacco (uplift) del profilo: EC4 6.6.1.1(7) e dispensa par. 7 (1/10 del taglio). Aumentare se presenti carichi appesi al profilo.</t>
        </r>
      </text>
    </comment>
    <comment ref="C36" authorId="0">
      <text>
        <r>
          <rPr>
            <sz val="10"/>
            <rFont val="Arial"/>
            <family val="2"/>
          </rPr>
          <t xml:space="preserve">RISULTATO.
Formula: (bw - (nr-1) et)/2 (con nr = 1 le barre sfalsate hanno c1 = (bw - et)/2: inserire et).</t>
        </r>
      </text>
    </comment>
    <comment ref="C37" authorId="0">
      <text>
        <r>
          <rPr>
            <sz val="10"/>
            <rFont val="Arial"/>
            <family val="2"/>
          </rPr>
          <t xml:space="preserve">CALCOLO AUTOMATICO - non modificare.
Formula: (b,sup - et)/2</t>
        </r>
      </text>
    </comment>
    <comment ref="C42" authorId="0">
      <text>
        <r>
          <rPr>
            <sz val="10"/>
            <rFont val="Arial"/>
            <family val="2"/>
          </rPr>
          <t xml:space="preserve">CALCOLO AUTOMATICO - non modificare.
Da foglio 04: MEd,comp S / Jid (carichi applicati alla composta, vedi 02B 'Carichi che gravano sulla sezione composta').</t>
        </r>
      </text>
    </comment>
    <comment ref="C43" authorId="0">
      <text>
        <r>
          <rPr>
            <sz val="10"/>
            <rFont val="Arial"/>
            <family val="2"/>
          </rPr>
          <t xml:space="preserve">RISULTATO.
PLASTICA: Ncf; ELASTICA: Fel</t>
        </r>
      </text>
    </comment>
    <comment ref="C44" authorId="0">
      <text>
        <r>
          <rPr>
            <sz val="10"/>
            <rFont val="Arial"/>
            <family val="2"/>
          </rPr>
          <t xml:space="preserve">CALCOLO AUTOMATICO - non modificare.
ELASTICA: da foglio 04 (carichi sulla composta). PLASTICA: VEd totale S/Jid (n0), coerente con la verifica a Mpl.</t>
        </r>
      </text>
    </comment>
    <comment ref="C45" authorId="0">
      <text>
        <r>
          <rPr>
            <sz val="10"/>
            <rFont val="Arial"/>
            <family val="2"/>
          </rPr>
          <t xml:space="preserve">CALCOLO AUTOMATICO - non modificare.
Formula: F / n</t>
        </r>
      </text>
    </comment>
    <comment ref="C46" authorId="0">
      <text>
        <r>
          <rPr>
            <sz val="10"/>
            <rFont val="Arial"/>
            <family val="2"/>
          </rPr>
          <t xml:space="preserve">CALCOLO AUTOMATICO - non modificare.
Formula: vEd s / nr (distribuzione elastica: ancoranti non duttili)</t>
        </r>
      </text>
    </comment>
    <comment ref="C48" authorId="0">
      <text>
        <r>
          <rPr>
            <sz val="10"/>
            <rFont val="Arial"/>
            <family val="2"/>
          </rPr>
          <t xml:space="preserve">RISULTATO.
Formula: kN x VEd</t>
        </r>
      </text>
    </comment>
    <comment ref="C56" authorId="0">
      <text>
        <r>
          <rPr>
            <sz val="10"/>
            <rFont val="Arial"/>
            <family val="2"/>
          </rPr>
          <t xml:space="preserve">CALCOLO AUTOMATICO - non modificare.
Formula: 1,2 fuk/fyk &gt;= 1,4</t>
        </r>
      </text>
    </comment>
    <comment ref="C57" authorId="0">
      <text>
        <r>
          <rPr>
            <sz val="10"/>
            <rFont val="Arial"/>
            <family val="2"/>
          </rPr>
          <t xml:space="preserve">CALCOLO AUTOMATICO - non modificare.
Formula: fuk/fyk &gt;= 1,25 (fuk&lt;=800 e fyk/fuk&lt;=0,8), altrimenti 1,5</t>
        </r>
      </text>
    </comment>
    <comment ref="C58" authorId="0">
      <text>
        <r>
          <rPr>
            <sz val="10"/>
            <rFont val="Arial"/>
            <family val="2"/>
          </rPr>
          <t xml:space="preserve">RISULTATO.
Formula: As fuk / gMs,N</t>
        </r>
      </text>
    </comment>
    <comment ref="C59" authorId="0">
      <text>
        <r>
          <rPr>
            <sz val="10"/>
            <rFont val="Arial"/>
            <family val="2"/>
          </rPr>
          <t xml:space="preserve">CALCOLO AUTOMATICO - non modificare.
Si' se spessore malta &gt; d/2 oppure malta &lt; 30 MPa.</t>
        </r>
      </text>
    </comment>
    <comment ref="C60" authorId="0">
      <text>
        <r>
          <rPr>
            <sz val="10"/>
            <rFont val="Arial"/>
            <family val="2"/>
          </rPr>
          <t xml:space="preserve">CALCOLO AUTOMATICO - non modificare.
Formula: k6 As fuk; k6 = 0,6 (fuk&lt;=500) / 0,5 (500&lt;fuk&lt;=1000); k7 = 1 (acciaio duttile)</t>
        </r>
      </text>
    </comment>
    <comment ref="C61" authorId="0">
      <text>
        <r>
          <rPr>
            <sz val="10"/>
            <rFont val="Arial"/>
            <family val="2"/>
          </rPr>
          <t xml:space="preserve">CALCOLO AUTOMATICO - non modificare.
Formula: 1,2 Wel fuk (1 - NEd/NRd,s), Wel con diametro equivalente all'area resistente</t>
        </r>
      </text>
    </comment>
    <comment ref="C62" authorId="0">
      <text>
        <r>
          <rPr>
            <sz val="10"/>
            <rFont val="Arial"/>
            <family val="2"/>
          </rPr>
          <t xml:space="preserve">CALCOLO AUTOMATICO - non modificare.
Formula: alfaM MRk,s / l ; l = 0,5 d + tg</t>
        </r>
      </text>
    </comment>
    <comment ref="C64" authorId="0">
      <text>
        <r>
          <rPr>
            <sz val="10"/>
            <rFont val="Arial"/>
            <family val="2"/>
          </rPr>
          <t xml:space="preserve">CALCOLO AUTOMATICO - non modificare.
EN 1993-1-8 Tab. 3.4: min(2,8 e2/d0 - 1,7 ; 2,5)</t>
        </r>
      </text>
    </comment>
    <comment ref="C65" authorId="0">
      <text>
        <r>
          <rPr>
            <sz val="10"/>
            <rFont val="Arial"/>
            <family val="2"/>
          </rPr>
          <t xml:space="preserve">CALCOLO AUTOMATICO - non modificare.
Formula: min(p1/3d0 - 1/4 ; fub/fu ; 1)</t>
        </r>
      </text>
    </comment>
    <comment ref="C66" authorId="0">
      <text>
        <r>
          <rPr>
            <sz val="10"/>
            <rFont val="Arial"/>
            <family val="2"/>
          </rPr>
          <t xml:space="preserve">RISULTATO.
Formula: k1 ab fu d tf / gM2</t>
        </r>
      </text>
    </comment>
    <comment ref="C70" authorId="0">
      <text>
        <r>
          <rPr>
            <sz val="10"/>
            <rFont val="Arial"/>
            <family val="2"/>
          </rPr>
          <t xml:space="preserve">CALCOLO AUTOMATICO - non modificare.
EN 1992-4 7.2.1.4: 7,7 fessurato; 11,0 non fessurato.</t>
        </r>
      </text>
    </comment>
    <comment ref="C71" authorId="0">
      <text>
        <r>
          <rPr>
            <sz val="10"/>
            <rFont val="Arial"/>
            <family val="2"/>
          </rPr>
          <t xml:space="preserve">CALCOLO AUTOMATICO - non modificare.
EN 1992-4 7.2.2.5: 1,7 fessurato; 2,4 non fessurato.</t>
        </r>
      </text>
    </comment>
    <comment ref="C72" authorId="0">
      <text>
        <r>
          <rPr>
            <sz val="10"/>
            <rFont val="Arial"/>
            <family val="2"/>
          </rPr>
          <t xml:space="preserve">CALCOLO AUTOMATICO - non modificare.
Formula: gc x gamma_inst</t>
        </r>
      </text>
    </comment>
    <comment ref="C74" authorId="0">
      <text>
        <r>
          <rPr>
            <sz val="10"/>
            <rFont val="Arial"/>
            <family val="2"/>
          </rPr>
          <t xml:space="preserve">CALCOLO AUTOMATICO - non modificare.
Formula: k1 sqrt(fck) hef^1,5</t>
        </r>
      </text>
    </comment>
    <comment ref="C75" authorId="0">
      <text>
        <r>
          <rPr>
            <sz val="10"/>
            <rFont val="Arial"/>
            <family val="2"/>
          </rPr>
          <t xml:space="preserve">CALCOLO AUTOMATICO - non modificare.
Formula: 3 hef ; ccr,N = 1,5 hef</t>
        </r>
      </text>
    </comment>
    <comment ref="C76" authorId="0">
      <text>
        <r>
          <rPr>
            <sz val="10"/>
            <rFont val="Arial"/>
            <family val="2"/>
          </rPr>
          <t xml:space="preserve">CALCOLO AUTOMATICO - non modificare.
Formula: psi_sus tauRk pi d hef</t>
        </r>
      </text>
    </comment>
    <comment ref="C77" authorId="0">
      <text>
        <r>
          <rPr>
            <sz val="10"/>
            <rFont val="Arial"/>
            <family val="2"/>
          </rPr>
          <t xml:space="preserve">CALCOLO AUTOMATICO - non modificare.
Formula: 7,3 d sqrt(psi_sus tauRk) &lt;= 3 hef ; ccr,Np = scr,Np/2</t>
        </r>
      </text>
    </comment>
    <comment ref="C78" authorId="0">
      <text>
        <r>
          <rPr>
            <sz val="10"/>
            <rFont val="Arial"/>
            <family val="2"/>
          </rPr>
          <t xml:space="preserve">CALCOLO AUTOMATICO - non modificare.
Area proiettata di competenza del singolo ancorante: min(s;scr) x [min(c1;ccr) + min(et/2;ccr)] / scr^2</t>
        </r>
      </text>
    </comment>
    <comment ref="C79" authorId="0">
      <text>
        <r>
          <rPr>
            <sz val="10"/>
            <rFont val="Arial"/>
            <family val="2"/>
          </rPr>
          <t xml:space="preserve">CALCOLO AUTOMATICO - non modificare.
Formula: 0,7 + 0,3 c/ccr,N &lt;= 1</t>
        </r>
      </text>
    </comment>
    <comment ref="C84" authorId="0">
      <text>
        <r>
          <rPr>
            <sz val="10"/>
            <rFont val="Arial"/>
            <family val="2"/>
          </rPr>
          <t xml:space="preserve">CALCOLO AUTOMATICO - non modificare.
psi_g,Np = 1 (a favore di sicurezza)</t>
        </r>
      </text>
    </comment>
    <comment ref="C87" authorId="0">
      <text>
        <r>
          <rPr>
            <sz val="10"/>
            <rFont val="Arial"/>
            <family val="2"/>
          </rPr>
          <t xml:space="preserve">CALCOLO AUTOMATICO - non modificare.
Formula: k9 d^a lf^b sqrt(fck) c1^1,5 ; a = 0,1 (lf/c1)^0,5 ; b = 0,1 (d/c1)^0,2</t>
        </r>
      </text>
    </comment>
    <comment ref="C88" authorId="0">
      <text>
        <r>
          <rPr>
            <sz val="10"/>
            <rFont val="Arial"/>
            <family val="2"/>
          </rPr>
          <t xml:space="preserve">CALCOLO AUTOMATICO - non modificare.
Formula: min(s;3c1) x min(1,5c1;H) / 4,5 c1^2</t>
        </r>
      </text>
    </comment>
    <comment ref="C90" authorId="0">
      <text>
        <r>
          <rPr>
            <sz val="10"/>
            <rFont val="Arial"/>
            <family val="2"/>
          </rPr>
          <t xml:space="preserve">RISULTATO.
psi_alfa,V = 2 (taglio parallelo al bordo laterale: sqrt(1/(cos^2 90 + (0,5 sin 90)^2))); psi_s,V = 1; gMc = 1,5</t>
        </r>
      </text>
    </comment>
    <comment ref="C91" authorId="0">
      <text>
        <r>
          <rPr>
            <sz val="10"/>
            <rFont val="Arial"/>
            <family val="2"/>
          </rPr>
          <t xml:space="preserve">RISULTATO.
Formula: k8 min(NRk,c ; NRk,p) / 1,5</t>
        </r>
      </text>
    </comment>
    <comment ref="C95" authorId="0">
      <text>
        <r>
          <rPr>
            <sz val="10"/>
            <rFont val="Arial"/>
            <family val="2"/>
          </rPr>
          <t xml:space="preserve">RISULTATO.
Minimo tra acciaio, rifollamento ala, bordo, pry-out.</t>
        </r>
      </text>
    </comment>
    <comment ref="C98" authorId="0">
      <text>
        <r>
          <rPr>
            <sz val="10"/>
            <rFont val="Arial"/>
            <family val="2"/>
          </rPr>
          <t xml:space="preserve">RISULTATO.
Formula: n VRd / Ncf (con criterio PLASTICA deve essere &gt;= 1).</t>
        </r>
      </text>
    </comment>
    <comment ref="C99" authorId="0">
      <text>
        <r>
          <rPr>
            <sz val="10"/>
            <rFont val="Arial"/>
            <family val="2"/>
          </rPr>
          <t xml:space="preserve">RISULTATO.
Formula: nr VRd / max(vEd ; F/(L/2)) : passo da non superare.</t>
        </r>
      </text>
    </comment>
    <comment ref="C104" authorId="0">
      <text>
        <r>
          <rPr>
            <sz val="10"/>
            <rFont val="Arial"/>
            <family val="2"/>
          </rPr>
          <t xml:space="preserve">RISULTATO.
EN 1992-4 Tab. 7.3 eq. 7.54</t>
        </r>
      </text>
    </comment>
    <comment ref="C106" authorId="0">
      <text>
        <r>
          <rPr>
            <sz val="10"/>
            <rFont val="Arial"/>
            <family val="2"/>
          </rPr>
          <t xml:space="preserve">RISULTATO.
EN 1992-4 Tab. 7.3 eq. 7.55 (rapporti massimi tra i modi di rottura del cls)</t>
        </r>
      </text>
    </comment>
    <comment ref="C112" authorId="0">
      <text>
        <r>
          <rPr>
            <sz val="10"/>
            <rFont val="Arial"/>
            <family val="2"/>
          </rPr>
          <t xml:space="preserve">RISULTATO.
Distanza dal bordo laterale della trave.</t>
        </r>
      </text>
    </comment>
    <comment ref="C115" authorId="0">
      <text>
        <r>
          <rPr>
            <sz val="10"/>
            <rFont val="Arial"/>
            <family val="2"/>
          </rPr>
          <t xml:space="preserve">RISULTATO.
Indicativo: verificare con le dimensioni di dado e rondella.</t>
        </r>
      </text>
    </comment>
    <comment ref="C117" authorId="0">
      <text>
        <r>
          <rPr>
            <sz val="10"/>
            <rFont val="Arial"/>
            <family val="2"/>
          </rPr>
          <t xml:space="preserve">RISULTATO.
EN 1992-4 / ETA hmin: verificare il valore esatto di hmin nell'ETA.</t>
        </r>
      </text>
    </comment>
    <comment ref="C119" authorId="0">
      <text>
        <r>
          <rPr>
            <sz val="10"/>
            <rFont val="Arial"/>
            <family val="2"/>
          </rPr>
          <t xml:space="preserve">RISULTATO.
EC4 6.6.5.5(2)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DATO DA INSERIRE.
1,0 = tutto il taglio di progetto passa dal profilo al pilastro (a favore di sicurezza). Ridurre solo se giustificato.</t>
        </r>
      </text>
    </comment>
    <comment ref="C9" authorId="0">
      <text>
        <r>
          <rPr>
            <sz val="10"/>
            <rFont val="Arial"/>
            <family val="2"/>
          </rPr>
          <t xml:space="preserve">RISULTATO.
ELASTICA: taglio dei carichi applicati alla composta (VEd,comp, foglio 01). PLASTICA: VEd totale.</t>
        </r>
      </text>
    </comment>
    <comment ref="C10" authorId="0">
      <text>
        <r>
          <rPr>
            <sz val="10"/>
            <rFont val="Arial"/>
            <family val="2"/>
          </rPr>
          <t xml:space="preserve">DATO DA INSERIRE.
Distanza tra la faccia del pilastro e la linea di trasmissione del taglio (asse bulloni del fazzoletto / centro appoggio su mensola + spessore piastra).</t>
        </r>
      </text>
    </comment>
    <comment ref="C11" authorId="0">
      <text>
        <r>
          <rPr>
            <sz val="10"/>
            <rFont val="Arial"/>
            <family val="2"/>
          </rPr>
          <t xml:space="preserve">DATO DA INSERIRE.
Eventuale tiro/catena trasmesso al pilastro. 0 se assente.</t>
        </r>
      </text>
    </comment>
    <comment ref="C12" authorId="0">
      <text>
        <r>
          <rPr>
            <sz val="10"/>
            <rFont val="Arial"/>
            <family val="2"/>
          </rPr>
          <t xml:space="preserve">CALCOLO AUTOMATICO - non modificare.
Formula: VEd e</t>
        </r>
      </text>
    </comment>
    <comment ref="C16" authorId="0">
      <text>
        <r>
          <rPr>
            <sz val="10"/>
            <rFont val="Arial"/>
            <family val="2"/>
          </rPr>
          <t xml:space="preserve">DATO DA INSERIRE.
Dimensione orizzontale della faccia del pilastro.</t>
        </r>
      </text>
    </comment>
    <comment ref="C17" authorId="0">
      <text>
        <r>
          <rPr>
            <sz val="10"/>
            <rFont val="Arial"/>
            <family val="2"/>
          </rPr>
          <t xml:space="preserve">DATO DA INSERIRE.
Dimensione nella direzione dell'asse degli ancoranti.</t>
        </r>
      </text>
    </comment>
    <comment ref="C18" authorId="0">
      <text>
        <r>
          <rPr>
            <sz val="10"/>
            <rFont val="Arial"/>
            <family val="2"/>
          </rPr>
          <t xml:space="preserve">DATO DA INSERIRE.
Distanza verso l'alto dal bordo libero piu' vicino (es. fine pilastro). Se il pilastro prosegue, inserire un valore grande (&gt;= 1,5 hef).</t>
        </r>
      </text>
    </comment>
    <comment ref="C21" authorId="0">
      <text>
        <r>
          <rPr>
            <sz val="10"/>
            <rFont val="Arial"/>
            <family val="2"/>
          </rPr>
          <t xml:space="preserve">DATO DA INSERIRE.
Usato per il rifollamento. La flessione della piastra va verificata a parte (EN 1993-1-8, T-stub).</t>
        </r>
      </text>
    </comment>
    <comment ref="C24" authorId="0">
      <text>
        <r>
          <rPr>
            <sz val="10"/>
            <rFont val="Arial"/>
            <family val="2"/>
          </rPr>
          <t xml:space="preserve">DATO DA INSERIRE.
&gt;= 1,2 d0 (EN 1993-1-8 Tab. 3.3).</t>
        </r>
      </text>
    </comment>
    <comment ref="C25" authorId="0">
      <text>
        <r>
          <rPr>
            <sz val="10"/>
            <rFont val="Arial"/>
            <family val="2"/>
          </rPr>
          <t xml:space="preserve">DATO DA INSERIRE.
Strato di regolarizzazione (malta espansiva/resina). Se &gt; d/2 o malta &lt; 30 MPa -&gt; braccio di leva.</t>
        </r>
      </text>
    </comment>
    <comment ref="C30" authorId="0">
      <text>
        <r>
          <rPr>
            <sz val="10"/>
            <rFont val="Arial"/>
            <family val="2"/>
          </rPr>
          <t xml:space="preserve">DATO DA INSERIRE.
Diametro nominale. Il diametro deve essere coperto dall'ETA dell'ancorante chimico.</t>
        </r>
      </text>
    </comment>
    <comment ref="C31" authorId="0">
      <text>
        <r>
          <rPr>
            <sz val="10"/>
            <rFont val="Arial"/>
            <family val="2"/>
          </rPr>
          <t xml:space="preserve">DATO DA INSERIRE.
5.8 / 8.8 (zincate) o A4-70 inox. Classi con allungamento A &gt;= 8% (duttili, k7 = 1).</t>
        </r>
      </text>
    </comment>
    <comment ref="C32" authorId="0">
      <text>
        <r>
          <rPr>
            <sz val="10"/>
            <rFont val="Arial"/>
            <family val="2"/>
          </rPr>
          <t xml:space="preserve">DATO DA INSERIRE.
Da progetto, entro il campo ammesso dall'ETA (tipicamente 8d - 20d).</t>
        </r>
      </text>
    </comment>
    <comment ref="C33" authorId="0">
      <text>
        <r>
          <rPr>
            <sz val="10"/>
            <rFont val="Arial"/>
            <family val="2"/>
          </rPr>
          <t xml:space="preserve">DATO DA INSERIRE.
DA ETA del prodotto: tau_Rk,cr per il diametro, la classe del cls (gia' moltiplicata per psi_c) e il campo di temperatura. Valore di esempio: SOSTITUIRE.</t>
        </r>
      </text>
    </comment>
    <comment ref="C34" authorId="0">
      <text>
        <r>
          <rPr>
            <sz val="10"/>
            <rFont val="Arial"/>
            <family val="2"/>
          </rPr>
          <t xml:space="preserve">DATO DA INSERIRE.
EN 1992-4 7.2.1.6: 1,0 se alfa_sus &lt;= psi0_sus (da ETA); altrimenti psi_sus = psi0_sus + 1 - alfa_sus.</t>
        </r>
      </text>
    </comment>
    <comment ref="C35" authorId="0">
      <text>
        <r>
          <rPr>
            <sz val="10"/>
            <rFont val="Arial"/>
            <family val="2"/>
          </rPr>
          <t xml:space="preserve">DATO DA INSERIRE.
Da ETA (1,0 / 1,2 / 1,4). gamma_Mc = gamma_Mp = 1,5 gamma_inst a trazione; a taglio gamma_inst = 1,0.</t>
        </r>
      </text>
    </comment>
    <comment ref="C36" authorId="0">
      <text>
        <r>
          <rPr>
            <sz val="10"/>
            <rFont val="Arial"/>
            <family val="2"/>
          </rPr>
          <t xml:space="preserve">DATO DA INSERIRE.
Da ETA (di norma 2,0).</t>
        </r>
      </text>
    </comment>
    <comment ref="C37" authorId="0">
      <text>
        <r>
          <rPr>
            <sz val="10"/>
            <rFont val="Arial"/>
            <family val="2"/>
          </rPr>
          <t xml:space="preserve">DATO DA INSERIRE.
FESSURATO a favore di sicurezza (zone tese/intradosso). NON FESSURATO solo se dimostrato (EN 1992-4 4.6).</t>
        </r>
      </text>
    </comment>
    <comment ref="C38" authorId="0">
      <text>
        <r>
          <rPr>
            <sz val="10"/>
            <rFont val="Arial"/>
            <family val="2"/>
          </rPr>
          <t xml:space="preserve">DATO DA INSERIRE.
EN 1992-4 7.2.2.5: STANDARD = 1,0; 1,4 se c'e' armatura di bordo phi&gt;=12 con staffe a passo &lt;= 100 mm.</t>
        </r>
      </text>
    </comment>
    <comment ref="C39" authorId="0">
      <text>
        <r>
          <rPr>
            <sz val="10"/>
            <rFont val="Arial"/>
            <family val="2"/>
          </rPr>
          <t xml:space="preserve">DATO DA INSERIRE.
EN 1992-4 7.2.1.4(5): SI -&gt; psi_re,N = 0,5 + hef/200 &lt;= 1 (zone con staffe ravvicinate). NO -&gt; 1,0.</t>
        </r>
      </text>
    </comment>
    <comment ref="C40" authorId="0">
      <text>
        <r>
          <rPr>
            <sz val="10"/>
            <rFont val="Arial"/>
            <family val="2"/>
          </rPr>
          <t xml:space="preserve">DATO DA INSERIRE.
Da ETA del prodotto per il diametro scelto.</t>
        </r>
      </text>
    </comment>
    <comment ref="C41" authorId="0">
      <text>
        <r>
          <rPr>
            <sz val="10"/>
            <rFont val="Arial"/>
            <family val="2"/>
          </rPr>
          <t xml:space="preserve">DATO DA INSERIRE.
Da ETA del prodotto per il diametro scelto.</t>
        </r>
      </text>
    </comment>
    <comment ref="C42" authorId="0">
      <text>
        <r>
          <rPr>
            <sz val="10"/>
            <rFont val="Arial"/>
            <family val="2"/>
          </rPr>
          <t xml:space="preserve">DATO DA INSERIRE.
Foro di passaggio nell'acciaio (es. d + 2). I fori vanno riempiti (resina/rondella di riempimento) per far collaborare tutti gli ancoranti a taglio.</t>
        </r>
      </text>
    </comment>
    <comment ref="C43" authorId="0">
      <text>
        <r>
          <rPr>
            <sz val="10"/>
            <rFont val="Arial"/>
            <family val="2"/>
          </rPr>
          <t xml:space="preserve">DATO DA INSERIRE.
EN 1992-4 6.2.2.3: 1,0 rotazione libera (a favore di sicurezza); 2,0 piatto impedito di ruotare.</t>
        </r>
      </text>
    </comment>
    <comment ref="C44" authorId="0">
      <text>
        <r>
          <rPr>
            <sz val="10"/>
            <rFont val="Arial"/>
            <family val="2"/>
          </rPr>
          <t xml:space="preserve">DATO DA INSERIRE.
Numero di colonne di ancoranti.</t>
        </r>
      </text>
    </comment>
    <comment ref="C45" authorId="0">
      <text>
        <r>
          <rPr>
            <sz val="10"/>
            <rFont val="Arial"/>
            <family val="2"/>
          </rPr>
          <t xml:space="preserve">DATO DA INSERIRE.
Numero di righe di ancoranti.</t>
        </r>
      </text>
    </comment>
    <comment ref="C48" authorId="0">
      <text>
        <r>
          <rPr>
            <sz val="10"/>
            <rFont val="Arial"/>
            <family val="2"/>
          </rPr>
          <t xml:space="preserve">DATO DA INSERIRE.
Automatico (a favore di sicurezza): ny&gt;=2 -&gt; z = distanza fila superiore - fila inferiore (compressione assunta sulla fila inferiore); ny=1 -&gt; z = 0,9 x distanza fila-bordo inferiore piastra.</t>
        </r>
      </text>
    </comment>
    <comment ref="C52" authorId="0">
      <text>
        <r>
          <rPr>
            <sz val="10"/>
            <rFont val="Arial"/>
            <family val="2"/>
          </rPr>
          <t xml:space="preserve">RISULTATO.
Piastra centrata sulla faccia: (bc - (nx-1) sx)/2</t>
        </r>
      </text>
    </comment>
    <comment ref="C56" authorId="0">
      <text>
        <r>
          <rPr>
            <sz val="10"/>
            <rFont val="Arial"/>
            <family val="2"/>
          </rPr>
          <t xml:space="preserve">RISULTATO.
Formula: N/n + M/(z nx)</t>
        </r>
      </text>
    </comment>
    <comment ref="C57" authorId="0">
      <text>
        <r>
          <rPr>
            <sz val="10"/>
            <rFont val="Arial"/>
            <family val="2"/>
          </rPr>
          <t xml:space="preserve">RISULTATO.
Formula: VEd / n (fori riempiti)</t>
        </r>
      </text>
    </comment>
    <comment ref="C66" authorId="0">
      <text>
        <r>
          <rPr>
            <sz val="10"/>
            <rFont val="Arial"/>
            <family val="2"/>
          </rPr>
          <t xml:space="preserve">CALCOLO AUTOMATICO - non modificare.
Formula: 1,2 fuk/fyk &gt;= 1,4</t>
        </r>
      </text>
    </comment>
    <comment ref="C67" authorId="0">
      <text>
        <r>
          <rPr>
            <sz val="10"/>
            <rFont val="Arial"/>
            <family val="2"/>
          </rPr>
          <t xml:space="preserve">CALCOLO AUTOMATICO - non modificare.
Formula: fuk/fyk &gt;= 1,25 (fuk&lt;=800 e fyk/fuk&lt;=0,8), altrimenti 1,5</t>
        </r>
      </text>
    </comment>
    <comment ref="C68" authorId="0">
      <text>
        <r>
          <rPr>
            <sz val="10"/>
            <rFont val="Arial"/>
            <family val="2"/>
          </rPr>
          <t xml:space="preserve">RISULTATO.
Formula: As fuk / gMs,N</t>
        </r>
      </text>
    </comment>
    <comment ref="C69" authorId="0">
      <text>
        <r>
          <rPr>
            <sz val="10"/>
            <rFont val="Arial"/>
            <family val="2"/>
          </rPr>
          <t xml:space="preserve">CALCOLO AUTOMATICO - non modificare.
Si' se spessore malta &gt; d/2 oppure malta &lt; 30 MPa.</t>
        </r>
      </text>
    </comment>
    <comment ref="C70" authorId="0">
      <text>
        <r>
          <rPr>
            <sz val="10"/>
            <rFont val="Arial"/>
            <family val="2"/>
          </rPr>
          <t xml:space="preserve">CALCOLO AUTOMATICO - non modificare.
Formula: k6 As fuk; k6 = 0,6 (fuk&lt;=500) / 0,5 (500&lt;fuk&lt;=1000); k7 = 1 (acciaio duttile)</t>
        </r>
      </text>
    </comment>
    <comment ref="C71" authorId="0">
      <text>
        <r>
          <rPr>
            <sz val="10"/>
            <rFont val="Arial"/>
            <family val="2"/>
          </rPr>
          <t xml:space="preserve">CALCOLO AUTOMATICO - non modificare.
Formula: 1,2 Wel fuk (1 - NEd/NRd,s), Wel con diametro equivalente all'area resistente</t>
        </r>
      </text>
    </comment>
    <comment ref="C72" authorId="0">
      <text>
        <r>
          <rPr>
            <sz val="10"/>
            <rFont val="Arial"/>
            <family val="2"/>
          </rPr>
          <t xml:space="preserve">CALCOLO AUTOMATICO - non modificare.
Formula: alfaM MRk,s / l ; l = 0,5 d + tg</t>
        </r>
      </text>
    </comment>
    <comment ref="C75" authorId="0">
      <text>
        <r>
          <rPr>
            <sz val="10"/>
            <rFont val="Arial"/>
            <family val="2"/>
          </rPr>
          <t xml:space="preserve">CALCOLO AUTOMATICO - non modificare.
Foro di estremita' nella direzione del carico (e1).</t>
        </r>
      </text>
    </comment>
    <comment ref="C80" authorId="0">
      <text>
        <r>
          <rPr>
            <sz val="10"/>
            <rFont val="Arial"/>
            <family val="2"/>
          </rPr>
          <t xml:space="preserve">CALCOLO AUTOMATICO - non modificare.
EN 1992-4 7.2.1.4: 7,7 fessurato; 11,0 non fessurato.</t>
        </r>
      </text>
    </comment>
    <comment ref="C81" authorId="0">
      <text>
        <r>
          <rPr>
            <sz val="10"/>
            <rFont val="Arial"/>
            <family val="2"/>
          </rPr>
          <t xml:space="preserve">CALCOLO AUTOMATICO - non modificare.
EN 1992-4 7.2.2.5: 1,7 fessurato; 2,4 non fessurato.</t>
        </r>
      </text>
    </comment>
    <comment ref="C82" authorId="0">
      <text>
        <r>
          <rPr>
            <sz val="10"/>
            <rFont val="Arial"/>
            <family val="2"/>
          </rPr>
          <t xml:space="preserve">CALCOLO AUTOMATICO - non modificare.
Formula: gc x gamma_inst</t>
        </r>
      </text>
    </comment>
    <comment ref="C84" authorId="0">
      <text>
        <r>
          <rPr>
            <sz val="10"/>
            <rFont val="Arial"/>
            <family val="2"/>
          </rPr>
          <t xml:space="preserve">CALCOLO AUTOMATICO - non modificare.
Formula: k1 sqrt(fck) hef^1,5</t>
        </r>
      </text>
    </comment>
    <comment ref="C85" authorId="0">
      <text>
        <r>
          <rPr>
            <sz val="10"/>
            <rFont val="Arial"/>
            <family val="2"/>
          </rPr>
          <t xml:space="preserve">CALCOLO AUTOMATICO - non modificare.
Formula: 3 hef ; ccr,N = 1,5 hef</t>
        </r>
      </text>
    </comment>
    <comment ref="C86" authorId="0">
      <text>
        <r>
          <rPr>
            <sz val="10"/>
            <rFont val="Arial"/>
            <family val="2"/>
          </rPr>
          <t xml:space="preserve">CALCOLO AUTOMATICO - non modificare.
Formula: psi_sus tauRk pi d hef</t>
        </r>
      </text>
    </comment>
    <comment ref="C87" authorId="0">
      <text>
        <r>
          <rPr>
            <sz val="10"/>
            <rFont val="Arial"/>
            <family val="2"/>
          </rPr>
          <t xml:space="preserve">CALCOLO AUTOMATICO - non modificare.
Formula: 7,3 d sqrt(psi_sus tauRk) &lt;= 3 hef ; ccr,Np = scr,Np/2</t>
        </r>
      </text>
    </comment>
    <comment ref="C88" authorId="0">
      <text>
        <r>
          <rPr>
            <sz val="10"/>
            <rFont val="Arial"/>
            <family val="2"/>
          </rPr>
          <t xml:space="preserve">CALCOLO AUTOMATICO - non modificare.
Fila superiore di nx ancoranti: [2 min(cx;ccr) + (nx-1) min(sx;scr)] x [min(ctop;ccr) + ccr] / scr^2</t>
        </r>
      </text>
    </comment>
    <comment ref="C98" authorId="0">
      <text>
        <r>
          <rPr>
            <sz val="10"/>
            <rFont val="Arial"/>
            <family val="2"/>
          </rPr>
          <t xml:space="preserve">RISULTATO.
Formula: k8 min(NRk,c ; NRk,p)gruppo / 1,5</t>
        </r>
      </text>
    </comment>
    <comment ref="C100" authorId="0">
      <text>
        <r>
          <rPr>
            <sz val="10"/>
            <rFont val="Arial"/>
            <family val="2"/>
          </rPr>
          <t xml:space="preserve">CALCOLO AUTOMATICO - non modificare.
c1 = cx</t>
        </r>
      </text>
    </comment>
    <comment ref="C101" authorId="0">
      <text>
        <r>
          <rPr>
            <sz val="10"/>
            <rFont val="Arial"/>
            <family val="2"/>
          </rPr>
          <t xml:space="preserve">CALCOLO AUTOMATICO - non modificare.
Colonna verticale di ny ancoranti vicina al bordo laterale.</t>
        </r>
      </text>
    </comment>
    <comment ref="C104" authorId="0">
      <text>
        <r>
          <rPr>
            <sz val="10"/>
            <rFont val="Arial"/>
            <family val="2"/>
          </rPr>
          <t xml:space="preserve">RISULTATO.
psi_alfa,V = 2</t>
        </r>
      </text>
    </comment>
    <comment ref="C116" authorId="0">
      <text>
        <r>
          <rPr>
            <sz val="10"/>
            <rFont val="Arial"/>
            <family val="2"/>
          </rPr>
          <t xml:space="preserve">RISULTATO.
(N/NRd,s)^2 + (V/VRd,s)^2 &lt;= 1</t>
        </r>
      </text>
    </comment>
    <comment ref="C117" authorId="0">
      <text>
        <r>
          <rPr>
            <sz val="10"/>
            <rFont val="Arial"/>
            <family val="2"/>
          </rPr>
          <t xml:space="preserve">RISULTATO.
bN^1,5 + bV^1,5 &lt;= 1</t>
        </r>
      </text>
    </comment>
    <comment ref="C127" authorId="0">
      <text>
        <r>
          <rPr>
            <sz val="10"/>
            <rFont val="Arial"/>
            <family val="2"/>
          </rPr>
          <t xml:space="preserve">RISULTATO.
Verificare hmin dell'ETA.</t>
        </r>
      </text>
    </comment>
  </commentList>
</comments>
</file>

<file path=xl/sharedStrings.xml><?xml version="1.0" encoding="utf-8"?>
<sst xmlns="http://schemas.openxmlformats.org/spreadsheetml/2006/main" count="2011" uniqueCount="1160">
  <si>
    <t xml:space="preserve">TRAVE COMPOSTA ACCIAIO-CALCESTRUZZO - VERIFICA SEZIONE E CONNESSIONI</t>
  </si>
  <si>
    <t xml:space="preserve">Scenario 1 = trave NUOVA (soletta c.a. su lamiera grecata + pioli)   |   Scenario 2 = RINFORZO di trave c.a. esistente con trave in acciaio sottoposta, resa collaborante con barre filettate inghisate chimicamente + nodo di attacco al pilastro esistente</t>
  </si>
  <si>
    <t xml:space="preserve">1. COME SI USA (ordine di compilazione)</t>
  </si>
  <si>
    <t xml:space="preserve">1) 01_DATI_GENERALI: scegliere lo SCENARIO (1 o 2) nella cella gialla in alto; inserire luce, larghezza di influenza, carichi, coefficienti e materiali.</t>
  </si>
  <si>
    <t xml:space="preserve">2) 02_PROFILO_ACCIAIO: inserire le dimensioni del profilo (da sagomario del produttore: h, b, tf, tw, r). Ala superiore e inferiore possono essere diverse (profili saldati).</t>
  </si>
  <si>
    <t xml:space="preserve">3a) Scenario 1 -&gt; 02A_SOLETTA_LAMIERA (geometria soletta e lamiera, classe cls, armatura trasversale) e poi 05A_PIOLI (pioli Nelson).</t>
  </si>
  <si>
    <t xml:space="preserve">3b) Scenario 2 -&gt; 02B_TRAVE_CA_ESISTENTE (geometria trave esistente, resistenza cls da prove, FC, spessore malta) e poi 05B_INGHISAGGI_TRAVE e 06_NODO_PILASTRO.</t>
  </si>
  <si>
    <t xml:space="preserve">4) 03_SEZIONE_COMPOSTA e 04_VERIFICHE_TRAVE sono interamente automatici (sezione plastica, sezione elastica omogeneizzata, flessione, taglio, frecce, fase di getto).</t>
  </si>
  <si>
    <t xml:space="preserve">5) 07_RIEPILOGO raccoglie tutte le verifiche con rapporto domanda/capacita' ed esito. Le verifiche non pertinenti allo scenario scelto risultano 'N.A.'.</t>
  </si>
  <si>
    <t xml:space="preserve">I fogli dello scenario non scelto possono restare compilati: non influenzano i risultati. Ogni cella valore ha un COMMENTO (passare il mouse) con istruzioni e formula; la colonna E ripete le istruzioni.</t>
  </si>
  <si>
    <t xml:space="preserve">2. LEGENDA COLORI</t>
  </si>
  <si>
    <t xml:space="preserve">GIALLO con testo BLU = dato da inserire.   GRIGIO = calcolo automatico (protetto logicamente: non sovrascrivere).   AZZURRO = risultato chiave.   VERDE = verificato.   ROSSO = non verificato.   ARANCIO = attenzione / controllo da fare a mano.</t>
  </si>
  <si>
    <t xml:space="preserve">Unita': lunghezze in mm (salvo luce e larghezze di influenza in m), forze in kN, momenti in kNm, tensioni in MPa = N/mm2, carichi distribuiti in kN/m2 o kN/m.</t>
  </si>
  <si>
    <t xml:space="preserve">3. RIFERIMENTI NORMATIVI E TECNICI</t>
  </si>
  <si>
    <t xml:space="preserve">D.M. 17/01/2018 (NTC 2018) cap. 4.2 (acciaio), 4.3 (strutture composte), cap. 8 (costruzioni esistenti: LC, FC) e Circolare n.7/2019 (C8.5.4, Tab. C8.5.IV).</t>
  </si>
  <si>
    <t xml:space="preserve">UNI EN 1994-1-1 (EC4): 5.4.1.2 larghezza efficace, 6.2.1 resistenza plastica e connessione parziale, 6.6.1.2 grado minimo di connessione, 6.6.3.1 pioli in soletta piena, 6.6.4 pioli con lamiera grecata (kl, kt, Tab. 6.2), 6.6.5 dettagli costruttivi, 6.6.6 armatura trasversale.</t>
  </si>
  <si>
    <t xml:space="preserve">UNI EN 1992-4 (EC2 parte 4) per gli ancoranti post-installati chimici (rottura acciaio, cono cls, sfilamento/aderenza combinata, bordo, pry-out, interazione N-V) + Benestare Tecnico Europeo (ETA/EAD 330499) dell'ancorante scelto, da cui prendere tau_Rk, c_min, s_min, gamma_inst, k8, psi_sus.</t>
  </si>
  <si>
    <t xml:space="preserve">UNI EN 1993-1-1 / 1-8 per classificazione, taglio plastico e rifollamento delle lamiere forate. Dispensa 'Travi composte acciaio-calcestruzzo' (allegata dall'utente) per impostazione del metodo n e del calcolo plastico.</t>
  </si>
  <si>
    <t xml:space="preserve">4. IPOTESI E LIMITI (LEGGERE PRIMA DI USARE I RISULTATI)</t>
  </si>
  <si>
    <t xml:space="preserve">- Trave semplicemente appoggiata, momento positivo (soletta compressa). Per schemi diversi inserire manualmente MEd e VEd nelle celle di 'override' (01_DATI_GENERALI); le frecce restano calcolate per trave appoggiata.</t>
  </si>
  <si>
    <t xml:space="preserve">- Resistenza plastica: blocco rettangolare 0,85*fck/gamma_c nel cls compresso, fyd nell'acciaio; cls teso trascurato; armature longitudinali della soletta/trave esistente trascurate (a favore di sicurezza). Valida solo per profilo di classe 1 o 2 (controllata nel foglio 03).</t>
  </si>
  <si>
    <t xml:space="preserve">- Scenario 1: con lamiera a nervature trasversali il cls nelle nervature e' trascurato (EC4). Con trave non puntellata il peso di getto/lamiera/trave grava sulla sola trave in acciaio (verifica fase di getto e freccia di fase 1).</t>
  </si>
  <si>
    <t xml:space="preserve">- Scenario 2: le barre inghisate NON sono connettori duttili ai sensi EC4 6.6.1.1: la connessione si progetta in campo elastico (criterio ELASTICA, consigliato) oppure per la piena resistenza plastica N_cf (criterio PLASTICA, richiede grado di connessione &gt;= 1). Non e' ammessa la connessione parziale.</t>
  </si>
  <si>
    <t xml:space="preserve">- Scenario 2: in 02B si sceglie quali carichi gravano sulla composta. 'SOLO SUCCESSIVI' (trave non scaricata): i carichi gia' presenti restano sulla trave c.a. esistente, da verificare a parte; profilo, inghisaggi e nodo portano solo i carichi successivi. 'TUTTI' (trave puntellata/martinettata, o calcolo cautelativo): tutto sulla composta. La verifica plastica (criterio PLASTICA) usa comunque il MEd totale. Le frecce sono gli incrementi dovuti ai carichi sulla composta.</t>
  </si>
  <si>
    <t xml:space="preserve">- Ancoranti: metodo EN 1992-4 semplificato per file di ancoranti (aree proiettate per singolo ancorante con passo e distanze dal bordo), psi_g,Np = 1, psi_ec = 1 (a favore di sicurezza). Splitting trascurato (cls fessurato e armato): verificare con ETA. Fori nel piatto da riempire (filling washer / resina) perche' tutti gli ancoranti collaborino a taglio.</t>
  </si>
  <si>
    <t xml:space="preserve">- Non sono incluse: verifica della piastra di attacco al pilastro, delle saldature e del collegamento bullonato trave-piastra/mensola (EN 1993-1-8), instabilita' flesso-torsionale in fase di getto se l'ala non e' vincolata, vibrazioni, fuoco, fatica, verifica del pilastro esistente per il nuovo carico concentrato.</t>
  </si>
  <si>
    <t xml:space="preserve">- I valori di esempio inseriti nelle celle gialle sono solo dimostrativi (in particolare tau_Rk dell'ancorante): sostituirli con i dati di progetto e dell'ETA del prodotto.</t>
  </si>
  <si>
    <t xml:space="preserve">- Il foglio e' uno strumento di supporto: il progettista resta responsabile della verifica dei risultati e dell'applicazione delle norme vigenti.</t>
  </si>
  <si>
    <t xml:space="preserve">5. STRUTTURA DEI FOGLI</t>
  </si>
  <si>
    <t xml:space="preserve">00_LEGGIMI | 01_DATI_GENERALI | 02_PROFILO_ACCIAIO | 02A_SOLETTA_LAMIERA (sc.1) | 02B_TRAVE_CA_ESISTENTE (sc.2) | 03_SEZIONE_COMPOSTA | 04_VERIFICHE_TRAVE | 05A_PIOLI (sc.1) | 05B_INGHISAGGI_TRAVE (sc.2) | 06_NODO_PILASTRO (sc.2) | 07_RIEPILOGO | DB (tabelle materiali)</t>
  </si>
  <si>
    <t xml:space="preserve">01 - DATI GENERALI, SCENARIO, CARICHI E MATERIALI</t>
  </si>
  <si>
    <t xml:space="preserve">Compilare per primo questo foglio. La scelta dello SCENARIO attiva i fogli pertinenti (sc.1: 02A + 05A; sc.2: 02B + 05B + 06). Carichi: inserire i carichi di superficie (kN/m2) che vengono moltiplicati per la larghezza di influenza, piu' eventuali carichi lineari (kN/m).</t>
  </si>
  <si>
    <t xml:space="preserve">Legenda:  celle GIALLE = dati da inserire (testo blu)  |  GRIGIE = calcolo automatico (non modificare)  |  AZZURRE = risultati chiave.  Passa il mouse sulla cella del valore per leggere il commento con le istruzioni.</t>
  </si>
  <si>
    <t xml:space="preserve">DATI PROGETTO</t>
  </si>
  <si>
    <t xml:space="preserve">Parametro</t>
  </si>
  <si>
    <t xml:space="preserve">Simbolo</t>
  </si>
  <si>
    <t xml:space="preserve">Valore</t>
  </si>
  <si>
    <t xml:space="preserve">U.M.</t>
  </si>
  <si>
    <t xml:space="preserve">Istruzioni per la compilazione / formula / riferimento normativo</t>
  </si>
  <si>
    <t xml:space="preserve">Commessa</t>
  </si>
  <si>
    <t xml:space="preserve">Commessa 2026-xx</t>
  </si>
  <si>
    <t xml:space="preserve">Testo libero, compare solo come intestazione.</t>
  </si>
  <si>
    <t xml:space="preserve">Opera / elemento strutturale</t>
  </si>
  <si>
    <t xml:space="preserve">Trave T1 - piano primo</t>
  </si>
  <si>
    <t xml:space="preserve">Testo libero: identificativo della trave verificata.</t>
  </si>
  <si>
    <t xml:space="preserve">Progettista</t>
  </si>
  <si>
    <t xml:space="preserve">Ing. ...</t>
  </si>
  <si>
    <t xml:space="preserve">Testo libero.</t>
  </si>
  <si>
    <t xml:space="preserve">Revisione / data</t>
  </si>
  <si>
    <t xml:space="preserve">Rev.0 - 2026</t>
  </si>
  <si>
    <t xml:space="preserve">SCENARIO DI CALCOLO</t>
  </si>
  <si>
    <t xml:space="preserve">SCENARIO (scegliere dal menu a tendina)</t>
  </si>
  <si>
    <t xml:space="preserve">2 - RINFORZO: trave acciaio sotto trave c.a. esistente + inghisaggi</t>
  </si>
  <si>
    <t xml:space="preserve">Scegliere 1 per trave NUOVA in acciaio con soletta c.a. gettata su lamiera grecata e connessione a pioli (Nelson). Scegliere 2 per RINFORZO: profilo in acciaio posto sotto una trave c.a. esistente, collegato con barre filettate e ancorante chimico, con attacco al pilastro esistente tramite piastra inghisata.</t>
  </si>
  <si>
    <t xml:space="preserve">Scenario attivo (numero)</t>
  </si>
  <si>
    <t xml:space="preserve">Sc</t>
  </si>
  <si>
    <t xml:space="preserve">Calcolato dalla scelta precedente. Usato da tutte le formule per attivare/disattivare le verifiche.</t>
  </si>
  <si>
    <t xml:space="preserve">GEOMETRIA E SCHEMA STATICO</t>
  </si>
  <si>
    <t xml:space="preserve">Luce di calcolo della trave (appoggio-appoggio)</t>
  </si>
  <si>
    <t xml:space="preserve">L</t>
  </si>
  <si>
    <t xml:space="preserve">m</t>
  </si>
  <si>
    <t xml:space="preserve">Distanza tra gli appoggi (assi pilastri o assi appoggi). Schema di trave semplicemente appoggiata: L e' anche la distanza tra punti di momento nullo Le per la larghezza efficace.</t>
  </si>
  <si>
    <t xml:space="preserve">Luce in mm</t>
  </si>
  <si>
    <t xml:space="preserve">mm</t>
  </si>
  <si>
    <t xml:space="preserve">Conversione automatica.</t>
  </si>
  <si>
    <t xml:space="preserve">Larghezza di influenza del solaio sulla trave</t>
  </si>
  <si>
    <t xml:space="preserve">i</t>
  </si>
  <si>
    <t xml:space="preserve">Larghezza di solaio che scarica sulla trave (di norma = interasse tra le travi, oppure meta' luce dei travetti/lamiera per ciascun lato). Moltiplica tutti i carichi in kN/m2.</t>
  </si>
  <si>
    <t xml:space="preserve">Scenario 1: trave puntellata durante il getto?</t>
  </si>
  <si>
    <t xml:space="preserve">NO</t>
  </si>
  <si>
    <t xml:space="preserve">Solo scenario 1. NO (consigliato a favore di sicurezza se non si e' certi): peso proprio acciaio + lamiera + getto fresco + carico di costruzione gravano sulla sola trave in acciaio (verifica fase di getto e freccia di fase 1). SI: la trave e' sostenuta da puntelli fino a maturazione del getto, tutti i carichi agiscono sulla sezione composta. Ignorato nello scenario 2.</t>
  </si>
  <si>
    <t xml:space="preserve">Carichi di fase 1 sulla sola trave in acciaio (1=si, 0=no)</t>
  </si>
  <si>
    <t xml:space="preserve">Automatico. Vale 1 solo per scenario 1 non puntellato. Nello scenario 2 la ripartizione dei carichi e' governata dalla scelta 'Carichi che gravano sulla sezione composta' nel foglio 02B.</t>
  </si>
  <si>
    <t xml:space="preserve">Quota di G1 sulla sezione composta</t>
  </si>
  <si>
    <t xml:space="preserve">-</t>
  </si>
  <si>
    <t xml:space="preserve">Automatico. Sc.1: 0 se non puntellata (G1 su sola trave acciaio), 1 se puntellata. Sc.2: 1 solo con 'TUTTI' (02B), altrimenti G1 resta sulla trave esistente.</t>
  </si>
  <si>
    <t xml:space="preserve">Quota di G2 sulla sezione composta</t>
  </si>
  <si>
    <t xml:space="preserve">Automatico. Sc.2: G2 grava sulla composta se applicato dopo il rinforzo o con opzione 'TUTTI'.</t>
  </si>
  <si>
    <t xml:space="preserve">CARICHI CARATTERISTICI</t>
  </si>
  <si>
    <t xml:space="preserve">G1 'pre': permanenti strutturali presenti PRIMA della collaborazione</t>
  </si>
  <si>
    <t xml:space="preserve">g1,pre</t>
  </si>
  <si>
    <t xml:space="preserve">kN/m2</t>
  </si>
  <si>
    <t xml:space="preserve">Sc.1: peso soletta (getto + lamiera) per m2, es. soletta 12cm su lamiera h55 circa 2,3-2,6 kN/m2. Sc.2: peso del solaio esistente (es. laterocemento 20+4 circa 3,0-3,2 kN/m2). Il peso proprio del profilo e della trave c.a. sono aggiunti automaticamente sotto.</t>
  </si>
  <si>
    <t xml:space="preserve">G1 'pre' lineare aggiuntivo</t>
  </si>
  <si>
    <t xml:space="preserve">G1,x</t>
  </si>
  <si>
    <t xml:space="preserve">kN/m</t>
  </si>
  <si>
    <t xml:space="preserve">Eventuali carichi lineari strutturali aggiuntivi gia' presenti (es. muratura portata). Lasciare 0 se assenti.</t>
  </si>
  <si>
    <t xml:space="preserve">Sc.1: carico di costruzione in fase di getto</t>
  </si>
  <si>
    <t xml:space="preserve">qc</t>
  </si>
  <si>
    <t xml:space="preserve">Carichi di costruzione/maestranze durante il getto (EN 1991-1-6 4.11.1: indicativamente 0,75 kN/m2 + 10% peso getto su area di lavoro; 1,0-1,5 kN/m2 e' un valore usuale). Usato solo per la verifica di fase di getto, scenario 1.</t>
  </si>
  <si>
    <t xml:space="preserve">G2: permanenti non strutturali</t>
  </si>
  <si>
    <t xml:space="preserve">g2</t>
  </si>
  <si>
    <t xml:space="preserve">Pavimenti, massetti, impianti, incidenza tramezzi (NTC 3.1.3). Sc.2: indicare in 02B se sono gia' presenti prima del rinforzo (cambia solo il calcolo delle frecce).</t>
  </si>
  <si>
    <t xml:space="preserve">G2 lineare aggiuntivo</t>
  </si>
  <si>
    <t xml:space="preserve">G2,x</t>
  </si>
  <si>
    <t xml:space="preserve">Es. tamponature o parapetti gravanti direttamente sulla trave.</t>
  </si>
  <si>
    <t xml:space="preserve">Q: variabile</t>
  </si>
  <si>
    <t xml:space="preserve">qk</t>
  </si>
  <si>
    <t xml:space="preserve">Carico variabile per categoria d'uso (NTC Tab. 3.1.II): A residenziale 2,0; B uffici 3,0; C1 3,0; ecc.</t>
  </si>
  <si>
    <t xml:space="preserve">Coefficiente psi2 del variabile</t>
  </si>
  <si>
    <t xml:space="preserve">psi2</t>
  </si>
  <si>
    <t xml:space="preserve">NTC Tab. 2.5.I (A residenziale 0,3; B uffici 0,3; C 0,6; E 0,8). Usato per la freccia quasi permanente (informativa).</t>
  </si>
  <si>
    <t xml:space="preserve">COEFFICIENTI PARZIALI SLU (NTC Tab. 2.6.I, STR)</t>
  </si>
  <si>
    <t xml:space="preserve">gamma G1</t>
  </si>
  <si>
    <t xml:space="preserve">gG1</t>
  </si>
  <si>
    <t xml:space="preserve">Permanenti strutturali: 1,3 (NTC 2018 Tab. 2.6.I, A1-STR).</t>
  </si>
  <si>
    <t xml:space="preserve">gamma G2</t>
  </si>
  <si>
    <t xml:space="preserve">gG2</t>
  </si>
  <si>
    <t xml:space="preserve">Permanenti non strutturali: 1,5 (1,3 se compiutamente definiti).</t>
  </si>
  <si>
    <t xml:space="preserve">gamma Q</t>
  </si>
  <si>
    <t xml:space="preserve">gQ</t>
  </si>
  <si>
    <t xml:space="preserve">Variabili: 1,5.</t>
  </si>
  <si>
    <t xml:space="preserve">CARICHI LINEARI RISULTANTI (kN/m)</t>
  </si>
  <si>
    <t xml:space="preserve">Peso proprio profilo in acciaio</t>
  </si>
  <si>
    <t xml:space="preserve">Ga</t>
  </si>
  <si>
    <t xml:space="preserve">Formula: A_a [mm2] x 78,5 kN/m3. Automatico dal foglio 02.</t>
  </si>
  <si>
    <t xml:space="preserve">Peso proprio anima trave c.a. esistente (solo sc.2)</t>
  </si>
  <si>
    <t xml:space="preserve">Grc</t>
  </si>
  <si>
    <t xml:space="preserve">Formula: bw x (H - hf) x 25 kN/m3 (la soletta e' gia' compresa in G1 pre). Zero nello scenario 1.</t>
  </si>
  <si>
    <t xml:space="preserve">G1 totale lineare</t>
  </si>
  <si>
    <t xml:space="preserve">G1</t>
  </si>
  <si>
    <t xml:space="preserve">Formula: g1,pre x i + G1,x + Ga + Grc</t>
  </si>
  <si>
    <t xml:space="preserve">Carico di costruzione lineare (sc.1)</t>
  </si>
  <si>
    <t xml:space="preserve">Qc</t>
  </si>
  <si>
    <t xml:space="preserve">Formula: qc x i (solo scenario 1)</t>
  </si>
  <si>
    <t xml:space="preserve">G2 totale lineare</t>
  </si>
  <si>
    <t xml:space="preserve">G2</t>
  </si>
  <si>
    <t xml:space="preserve">Formula: g2 x i + G2,x</t>
  </si>
  <si>
    <t xml:space="preserve">Q totale lineare</t>
  </si>
  <si>
    <t xml:space="preserve">Q</t>
  </si>
  <si>
    <t xml:space="preserve">Formula: qk x i</t>
  </si>
  <si>
    <t xml:space="preserve">Carico di progetto SLU</t>
  </si>
  <si>
    <t xml:space="preserve">qEd</t>
  </si>
  <si>
    <t xml:space="preserve">Formula: gG1 G1 + gG2 G2 + gQ Q (combinazione fondamentale, NTC 2.5.1)</t>
  </si>
  <si>
    <t xml:space="preserve">SOLLECITAZIONI DI PROGETTO</t>
  </si>
  <si>
    <t xml:space="preserve">MEd trave appoggiata (automatico)</t>
  </si>
  <si>
    <t xml:space="preserve">kNm</t>
  </si>
  <si>
    <t xml:space="preserve">Formula: qEd L^2 / 8</t>
  </si>
  <si>
    <t xml:space="preserve">VEd trave appoggiata (automatico)</t>
  </si>
  <si>
    <t xml:space="preserve">kN</t>
  </si>
  <si>
    <t xml:space="preserve">Formula: qEd L / 2</t>
  </si>
  <si>
    <t xml:space="preserve">MEd manuale (override, 0 = usa automatico)</t>
  </si>
  <si>
    <t xml:space="preserve">Inserire un valore &gt;0 SOLO se lo schema non e' di trave appoggiata (es. da modello FEM). Le componenti G1/G2/Q vengono scalate proporzionalmente.</t>
  </si>
  <si>
    <t xml:space="preserve">VEd manuale (override, 0 = usa automatico)</t>
  </si>
  <si>
    <t xml:space="preserve">Come sopra, per il taglio massimo all'appoggio (usato anche per il flusso di scorrimento e per il nodo al pilastro).</t>
  </si>
  <si>
    <t xml:space="preserve">MEd di progetto</t>
  </si>
  <si>
    <t xml:space="preserve">MEd</t>
  </si>
  <si>
    <t xml:space="preserve">Momento massimo positivo SLU in campata.</t>
  </si>
  <si>
    <t xml:space="preserve">VEd di progetto</t>
  </si>
  <si>
    <t xml:space="preserve">VEd</t>
  </si>
  <si>
    <t xml:space="preserve">Taglio massimo SLU all'appoggio.</t>
  </si>
  <si>
    <t xml:space="preserve">Fattore di scala momenti</t>
  </si>
  <si>
    <t xml:space="preserve">MEd / MEd,auto</t>
  </si>
  <si>
    <t xml:space="preserve">Fattore di scala tagli</t>
  </si>
  <si>
    <t xml:space="preserve">VEd / VEd,auto</t>
  </si>
  <si>
    <t xml:space="preserve">Quota MEd da G1</t>
  </si>
  <si>
    <t xml:space="preserve">MEd,G1</t>
  </si>
  <si>
    <t xml:space="preserve">Usata nelle verifiche elastiche (fasi e viscosita').</t>
  </si>
  <si>
    <t xml:space="preserve">Quota MEd da G2</t>
  </si>
  <si>
    <t xml:space="preserve">MEd,G2</t>
  </si>
  <si>
    <t xml:space="preserve">Quota MEd da Q</t>
  </si>
  <si>
    <t xml:space="preserve">MEd,Q</t>
  </si>
  <si>
    <t xml:space="preserve">Quota VEd da G1</t>
  </si>
  <si>
    <t xml:space="preserve">VEd,G1</t>
  </si>
  <si>
    <t xml:space="preserve">Quota VEd da G2</t>
  </si>
  <si>
    <t xml:space="preserve">VEd,G2</t>
  </si>
  <si>
    <t xml:space="preserve">Quota VEd da Q</t>
  </si>
  <si>
    <t xml:space="preserve">VEd,Q</t>
  </si>
  <si>
    <t xml:space="preserve">MEd agente sulla sezione composta</t>
  </si>
  <si>
    <t xml:space="preserve">MEd,comp</t>
  </si>
  <si>
    <t xml:space="preserve">Parte del momento SLU applicata dopo la solidarizzazione (usata per tensioni elastiche e connessione elastica).</t>
  </si>
  <si>
    <t xml:space="preserve">VEd agente sulla sezione composta</t>
  </si>
  <si>
    <t xml:space="preserve">VEd,comp</t>
  </si>
  <si>
    <t xml:space="preserve">Taglio SLU applicato dopo la solidarizzazione (flusso di scorrimento, nodo al pilastro sc.2).</t>
  </si>
  <si>
    <t xml:space="preserve">Sc.1 MEd fase di getto (sola trave acciaio)</t>
  </si>
  <si>
    <t xml:space="preserve">MEd,c</t>
  </si>
  <si>
    <t xml:space="preserve">Formula: (gG1 G1 + gQ Qc) L^2/8. Solo scenario 1.</t>
  </si>
  <si>
    <t xml:space="preserve">Sc.1 VEd fase di getto</t>
  </si>
  <si>
    <t xml:space="preserve">VEd,c</t>
  </si>
  <si>
    <t xml:space="preserve">MATERIALI - ACCIAIO DA CARPENTERIA (profilo)</t>
  </si>
  <si>
    <t xml:space="preserve">Grado acciaio profilo</t>
  </si>
  <si>
    <t xml:space="preserve">S275</t>
  </si>
  <si>
    <t xml:space="preserve">Scegliere dal menu. Per acciai esistenti/diversi modificare la tabella nel foglio DB.</t>
  </si>
  <si>
    <t xml:space="preserve">Tensione di snervamento</t>
  </si>
  <si>
    <t xml:space="preserve">fyk</t>
  </si>
  <si>
    <t xml:space="preserve">MPa</t>
  </si>
  <si>
    <t xml:space="preserve">Da tabella DB.</t>
  </si>
  <si>
    <t xml:space="preserve">Tensione di rottura</t>
  </si>
  <si>
    <t xml:space="preserve">ftk</t>
  </si>
  <si>
    <t xml:space="preserve">gamma M0</t>
  </si>
  <si>
    <t xml:space="preserve">gM0</t>
  </si>
  <si>
    <t xml:space="preserve">NTC 4.2.4.1.1: resistenza delle sezioni = 1,05.</t>
  </si>
  <si>
    <t xml:space="preserve">gamma M2</t>
  </si>
  <si>
    <t xml:space="preserve">gM2</t>
  </si>
  <si>
    <t xml:space="preserve">NTC 4.2.8.1.1: sezioni forate / unioni = 1,25 (rifollamento).</t>
  </si>
  <si>
    <t xml:space="preserve">Modulo elastico acciaio</t>
  </si>
  <si>
    <t xml:space="preserve">Ea</t>
  </si>
  <si>
    <t xml:space="preserve">NTC 11.3.4.1: 210000 MPa.</t>
  </si>
  <si>
    <t xml:space="preserve">Resistenza di progetto acciaio</t>
  </si>
  <si>
    <t xml:space="preserve">fyd</t>
  </si>
  <si>
    <t xml:space="preserve">Formula: fyk / gM0</t>
  </si>
  <si>
    <t xml:space="preserve">Coefficiente epsilon</t>
  </si>
  <si>
    <t xml:space="preserve">eps</t>
  </si>
  <si>
    <t xml:space="preserve">Formula: sqrt(235/fyk), per la classificazione delle sezioni.</t>
  </si>
  <si>
    <t xml:space="preserve">MATERIALI - CALCESTRUZZO (valori attivi secondo lo scenario)</t>
  </si>
  <si>
    <t xml:space="preserve">fck attiva</t>
  </si>
  <si>
    <t xml:space="preserve">fck</t>
  </si>
  <si>
    <t xml:space="preserve">Sc.1: fck della classe scelta in 02A. Sc.2: fcm da prove / FC (NTC 8.5.4 e Circ. C8.5.4: per i materiali esistenti si usa il valore medio diviso FC). </t>
  </si>
  <si>
    <t xml:space="preserve">Modulo elastico secante</t>
  </si>
  <si>
    <t xml:space="preserve">Ecm</t>
  </si>
  <si>
    <t xml:space="preserve">NTC 11.2.10.3: Ecm = 22000 (fcm/10)^0,3 con fcm = fck+8 (sc.1) o fcm da prove (sc.2).</t>
  </si>
  <si>
    <t xml:space="preserve">gamma c</t>
  </si>
  <si>
    <t xml:space="preserve">gc</t>
  </si>
  <si>
    <t xml:space="preserve">NTC 4.1.2.1.1.1: 1,5.</t>
  </si>
  <si>
    <t xml:space="preserve">Coefficiente lunga durata / blocco rettangolare</t>
  </si>
  <si>
    <t xml:space="preserve">acc</t>
  </si>
  <si>
    <t xml:space="preserve">Coefficiente applicato al cls compresso: 0,85 (NTC 4.1.2.1.1.1 / blocco plastico EC4 6.2.1.2: 0,85 fcd con fcd=fck/gc).</t>
  </si>
  <si>
    <t xml:space="preserve">Resistenza di progetto cls (blocco plastico)</t>
  </si>
  <si>
    <t xml:space="preserve">fcd</t>
  </si>
  <si>
    <t xml:space="preserve">Formula: acc fck / gc</t>
  </si>
  <si>
    <t xml:space="preserve">Rapporto modulare breve termine</t>
  </si>
  <si>
    <t xml:space="preserve">n0</t>
  </si>
  <si>
    <t xml:space="preserve">Formula: Ea / Ecm (carichi variabili, istantanei).</t>
  </si>
  <si>
    <t xml:space="preserve">Moltiplicatore per carichi permanenti (viscosita')</t>
  </si>
  <si>
    <t xml:space="preserve">kL</t>
  </si>
  <si>
    <t xml:space="preserve">n_L = kL x n0. Dispensa (Ec' = Ecm/3 per lunga durata) -&gt; 3. EC4 5.4.2.2(11) consente per edifici n = 2 n0 per tutti i carichi. Valori 2-3.</t>
  </si>
  <si>
    <t xml:space="preserve">Rapporto modulare lungo termine</t>
  </si>
  <si>
    <t xml:space="preserve">nL</t>
  </si>
  <si>
    <t xml:space="preserve">Formula: kL x n0 (carichi permanenti G1, G2).</t>
  </si>
  <si>
    <t xml:space="preserve">MATERIALI - ARMATURA ORDINARIA (sc.1: armatura trasversale soletta)</t>
  </si>
  <si>
    <t xml:space="preserve">Snervamento armatura B450C</t>
  </si>
  <si>
    <t xml:space="preserve">NTC 11.3.2.1.</t>
  </si>
  <si>
    <t xml:space="preserve">gamma s</t>
  </si>
  <si>
    <t xml:space="preserve">gs</t>
  </si>
  <si>
    <t xml:space="preserve">NTC 4.1.2.1.1.3.</t>
  </si>
  <si>
    <t xml:space="preserve">Resistenza di progetto armatura</t>
  </si>
  <si>
    <t xml:space="preserve">fyd,s</t>
  </si>
  <si>
    <t xml:space="preserve">LIMITI DI DEFORMABILITA' (SLE)</t>
  </si>
  <si>
    <t xml:space="preserve">Freccia totale massima: L /</t>
  </si>
  <si>
    <t xml:space="preserve">NTC Tab. 4.2.XII solai in generale: L/250 (freccia totale). Modificabile.</t>
  </si>
  <si>
    <t xml:space="preserve">Freccia dovuta ai variabili: L /</t>
  </si>
  <si>
    <t xml:space="preserve">NTC Tab. 4.2.XII solai in generale: L/300. Modificabile (es. L/350 se tramezzi fragili).</t>
  </si>
  <si>
    <t xml:space="preserve">02 - PROFILO IN ACCIAIO: GEOMETRIA, PROPRIETA', RESISTENZE DELLA SOLA TRAVE</t>
  </si>
  <si>
    <t xml:space="preserve">Inserire le dimensioni dal sagomario (profili laminati IPE/HEA/HEB: ali uguali, r = raggio di raccordo) o di un profilo saldato (r = 0, ali eventualmente diverse). Il raccordo e' modellato con una fascia di altezza r e larghezza tw + 2(1-pi/4)r: l'area risulta esatta, l'inerzia approssimata (errore trascurabile).</t>
  </si>
  <si>
    <t xml:space="preserve">DIMENSIONI</t>
  </si>
  <si>
    <t xml:space="preserve">Designazione profilo</t>
  </si>
  <si>
    <t xml:space="preserve">HEB 200</t>
  </si>
  <si>
    <t xml:space="preserve">Testo libero (es. IPE 300, HEB 200, saldato 400x200x10x15).</t>
  </si>
  <si>
    <t xml:space="preserve">Altezza totale</t>
  </si>
  <si>
    <t xml:space="preserve">h</t>
  </si>
  <si>
    <t xml:space="preserve">Altezza del profilo da sagomario. Esempi: IPE300 h=300; HEB200 h=200.</t>
  </si>
  <si>
    <t xml:space="preserve">Larghezza ala superiore</t>
  </si>
  <si>
    <t xml:space="preserve">b,sup</t>
  </si>
  <si>
    <t xml:space="preserve">Ala a contatto con la soletta (sc.1) o con l'intradosso della trave c.a. (sc.2). Sc.2: deve essere &lt;= larghezza trave esistente bw.</t>
  </si>
  <si>
    <t xml:space="preserve">Spessore ala superiore</t>
  </si>
  <si>
    <t xml:space="preserve">tf,sup</t>
  </si>
  <si>
    <t xml:space="preserve">Es. HEB200 tf=15; IPE300 tf=10,7.</t>
  </si>
  <si>
    <t xml:space="preserve">Larghezza ala inferiore</t>
  </si>
  <si>
    <t xml:space="preserve">b,inf</t>
  </si>
  <si>
    <t xml:space="preserve">Per laminati = b,sup.</t>
  </si>
  <si>
    <t xml:space="preserve">Spessore ala inferiore</t>
  </si>
  <si>
    <t xml:space="preserve">tf,inf</t>
  </si>
  <si>
    <t xml:space="preserve">Per laminati = tf,sup.</t>
  </si>
  <si>
    <t xml:space="preserve">Spessore anima</t>
  </si>
  <si>
    <t xml:space="preserve">tw</t>
  </si>
  <si>
    <t xml:space="preserve">Es. HEB200 tw=9; IPE300 tw=7,1.</t>
  </si>
  <si>
    <t xml:space="preserve">Raggio di raccordo ala-anima</t>
  </si>
  <si>
    <t xml:space="preserve">r</t>
  </si>
  <si>
    <t xml:space="preserve">Laminati: da sagomario (HEB200 r=18; IPE300 r=15). Profili saldati: 0 (o il lato del cordone, trascurabile).</t>
  </si>
  <si>
    <t xml:space="preserve">Altezza anima tra le ali</t>
  </si>
  <si>
    <t xml:space="preserve">hw</t>
  </si>
  <si>
    <t xml:space="preserve">Formula: h - tf,sup - tf,inf</t>
  </si>
  <si>
    <t xml:space="preserve">Larghezza aggiuntiva fascia raccordi</t>
  </si>
  <si>
    <t xml:space="preserve">Formula: 2(1-pi/4) r (area dei due raccordi su un lato spalmata su altezza r)</t>
  </si>
  <si>
    <t xml:space="preserve">Strati del profilo (y misurata dal lembo superiore del profilo)</t>
  </si>
  <si>
    <t xml:space="preserve">Strato</t>
  </si>
  <si>
    <t xml:space="preserve">y_top [mm]</t>
  </si>
  <si>
    <t xml:space="preserve">t [mm]</t>
  </si>
  <si>
    <t xml:space="preserve">b [mm]</t>
  </si>
  <si>
    <t xml:space="preserve">A [mm2]</t>
  </si>
  <si>
    <t xml:space="preserve">y_g [mm]</t>
  </si>
  <si>
    <t xml:space="preserve">A*y_g</t>
  </si>
  <si>
    <t xml:space="preserve">I propria [mm4]</t>
  </si>
  <si>
    <t xml:space="preserve">Ala superiore</t>
  </si>
  <si>
    <t xml:space="preserve">Raccordi superiori</t>
  </si>
  <si>
    <t xml:space="preserve">Anima</t>
  </si>
  <si>
    <t xml:space="preserve">Raccordi inferiori</t>
  </si>
  <si>
    <t xml:space="preserve">Ala inferiore</t>
  </si>
  <si>
    <t xml:space="preserve">PROPRIETA' ELASTICHE DEL PROFILO</t>
  </si>
  <si>
    <t xml:space="preserve">Area</t>
  </si>
  <si>
    <t xml:space="preserve">Aa</t>
  </si>
  <si>
    <t xml:space="preserve">mm2</t>
  </si>
  <si>
    <t xml:space="preserve">Somma aree strati. Controllo: confrontare con il sagomario (es. HEB200 = 7808 mm2; IPE300 = 5381 mm2).</t>
  </si>
  <si>
    <t xml:space="preserve">Baricentro dal lembo superiore</t>
  </si>
  <si>
    <t xml:space="preserve">yg,a</t>
  </si>
  <si>
    <t xml:space="preserve">Formula: sum(A y)/A</t>
  </si>
  <si>
    <t xml:space="preserve">Momento d'inerzia</t>
  </si>
  <si>
    <t xml:space="preserve">Ia</t>
  </si>
  <si>
    <t xml:space="preserve">mm4</t>
  </si>
  <si>
    <t xml:space="preserve">Steiner. Controllo col sagomario (HEB200 Iy = 5696 cm4; IPE300 = 8356 cm4): differenze &lt; 1-2% dovute al modello dei raccordi.</t>
  </si>
  <si>
    <t xml:space="preserve">Modulo resistente elastico lembo inferiore</t>
  </si>
  <si>
    <t xml:space="preserve">Wel,inf</t>
  </si>
  <si>
    <t xml:space="preserve">mm3</t>
  </si>
  <si>
    <t xml:space="preserve">Modulo resistente elastico lembo superiore</t>
  </si>
  <si>
    <t xml:space="preserve">Wel,sup</t>
  </si>
  <si>
    <t xml:space="preserve">Peso a metro</t>
  </si>
  <si>
    <t xml:space="preserve">Formula: A x 78,5 kN/m3</t>
  </si>
  <si>
    <t xml:space="preserve">RESISTENZA PLASTICA DELLA SOLA TRAVE IN ACCIAIO (asse neutro di uguale area)</t>
  </si>
  <si>
    <t xml:space="preserve">y_top</t>
  </si>
  <si>
    <t xml:space="preserve">t</t>
  </si>
  <si>
    <t xml:space="preserve">b</t>
  </si>
  <si>
    <t xml:space="preserve">w=b*fyd [N/mm]</t>
  </si>
  <si>
    <t xml:space="preserve">g_top [N]</t>
  </si>
  <si>
    <t xml:space="preserve">g_bot [N]</t>
  </si>
  <si>
    <t xml:space="preserve">attraversa</t>
  </si>
  <si>
    <t xml:space="preserve">x cand.</t>
  </si>
  <si>
    <t xml:space="preserve">t sopra</t>
  </si>
  <si>
    <t xml:space="preserve">t sotto</t>
  </si>
  <si>
    <t xml:space="preserve">M comp [Nmm]</t>
  </si>
  <si>
    <t xml:space="preserve">M traz [Nmm]</t>
  </si>
  <si>
    <t xml:space="preserve">RISULTATI SOLA TRAVE</t>
  </si>
  <si>
    <t xml:space="preserve">Asse neutro plastico dal lembo superiore</t>
  </si>
  <si>
    <t xml:space="preserve">xpl,a</t>
  </si>
  <si>
    <t xml:space="preserve">Posizione in cui l'area compressa = area tesa.</t>
  </si>
  <si>
    <t xml:space="preserve">Resistenza plastica assiale</t>
  </si>
  <si>
    <t xml:space="preserve">Npl,a</t>
  </si>
  <si>
    <t xml:space="preserve">Formula: Aa fyd</t>
  </si>
  <si>
    <t xml:space="preserve">Momento resistente plastico sola trave</t>
  </si>
  <si>
    <t xml:space="preserve">Mpl,a,Rd</t>
  </si>
  <si>
    <t xml:space="preserve">Somma dei momenti delle risultanti rispetto all'asse neutro plastico.</t>
  </si>
  <si>
    <t xml:space="preserve">Modulo plastico equivalente</t>
  </si>
  <si>
    <t xml:space="preserve">Wpl</t>
  </si>
  <si>
    <t xml:space="preserve">Controllo col sagomario (HEB200 Wpl = 642,5 cm3; IPE300 = 628,4 cm3).</t>
  </si>
  <si>
    <t xml:space="preserve">Momento resistente elastico sola trave</t>
  </si>
  <si>
    <t xml:space="preserve">Mel,a,Rd</t>
  </si>
  <si>
    <t xml:space="preserve">Formula: Wel,min fyd (da usare se classe 3).</t>
  </si>
  <si>
    <t xml:space="preserve">Area resistente a taglio</t>
  </si>
  <si>
    <t xml:space="preserve">Av</t>
  </si>
  <si>
    <t xml:space="preserve">EN 1993-1-1 6.2.6(3): Av = A - 2 b tf + (tw + 2r) tf &gt;= eta hw tw (eta = 1 a favore di sicurezza; ali diverse: media).</t>
  </si>
  <si>
    <t xml:space="preserve">Resistenza plastica a taglio</t>
  </si>
  <si>
    <t xml:space="preserve">Vpl,a,Rd</t>
  </si>
  <si>
    <t xml:space="preserve">Formula: Av fyd / sqrt(3) (NTC 4.2.4.1.2.4). Il taglio e' affidato alla sola trave in acciaio (EC4 6.2.2.2).</t>
  </si>
  <si>
    <t xml:space="preserve">Snellezza anima hw/tw</t>
  </si>
  <si>
    <t xml:space="preserve">Se &gt; 72 eps (eta=1) occorre verifica all'imbozzamento per taglio (EN 1993-1-5).</t>
  </si>
  <si>
    <t xml:space="preserve">Controllo imbozzamento anima a taglio</t>
  </si>
  <si>
    <t xml:space="preserve">Rapporto c/t ala superiore</t>
  </si>
  <si>
    <t xml:space="preserve">c/tf</t>
  </si>
  <si>
    <t xml:space="preserve">Sbalzo dell'ala compressa: c = (b - tw - 2r)/2.</t>
  </si>
  <si>
    <t xml:space="preserve">Classe ala superiore compressa (trave sola)</t>
  </si>
  <si>
    <t xml:space="preserve">EN 1993-1-1 Tab. 5.2: 9eps / 10eps / 14eps. In sezione composta l'ala connessa ai connettori con passo regolamentare puo' considerarsi di classe 1 (EC4 5.5.2(1)).</t>
  </si>
  <si>
    <t xml:space="preserve">Classe anima in flessione (trave sola)</t>
  </si>
  <si>
    <t xml:space="preserve">EN 1993-1-1 Tab. 5.2 flessione: 72/83/124 eps.</t>
  </si>
  <si>
    <t xml:space="preserve">02A - SCENARIO 1: SOLETTA IN C.A. SU LAMIERA GRECATA</t>
  </si>
  <si>
    <t xml:space="preserve">Compilare solo se SCENARIO = 1. Dati della lamiera dalla scheda del produttore (altezza nervatura hp, larghezza media b0, spessore t). Con nervature trasversali alla trave il cls nelle nervature non collabora (EC4 6.2.1.2): spessore utile hc = h - hp.</t>
  </si>
  <si>
    <t xml:space="preserve">CALCESTRUZZO DEL GETTO</t>
  </si>
  <si>
    <t xml:space="preserve">Classe calcestruzzo getto</t>
  </si>
  <si>
    <t xml:space="preserve">C25/30</t>
  </si>
  <si>
    <t xml:space="preserve">Scegliere dal menu. Per strutture composte NTC 4.3.1: classi da C20/25 a C60/75.</t>
  </si>
  <si>
    <t xml:space="preserve">Resistenza caratteristica cilindrica</t>
  </si>
  <si>
    <t xml:space="preserve">GEOMETRIA SOLETTA E LAMIERA</t>
  </si>
  <si>
    <t xml:space="preserve">Orientamento nervature lamiera</t>
  </si>
  <si>
    <t xml:space="preserve">TRASVERSALE</t>
  </si>
  <si>
    <t xml:space="preserve">TRASVERSALE = nervature perpendicolari alla trave (caso usuale per travi principali): riduzione kt dei pioli. PARALLELA = nervature parallele alla trave: riduzione kl. SOLETTA PIENA = getto su casseri/predalle senza lamiera: nessuna riduzione (impostare hp = 0).</t>
  </si>
  <si>
    <t xml:space="preserve">Spessore totale soletta (estradosso - fondo lamiera)</t>
  </si>
  <si>
    <t xml:space="preserve">Altezza complessiva getto + nervatura.</t>
  </si>
  <si>
    <t xml:space="preserve">Altezza nervatura lamiera</t>
  </si>
  <si>
    <t xml:space="preserve">hp</t>
  </si>
  <si>
    <t xml:space="preserve">Dalla scheda lamiera (es. 55, 75 mm). 0 per soletta piena. EC4: formule kt valide per hp &lt;= 85 mm.</t>
  </si>
  <si>
    <t xml:space="preserve">Larghezza media della nervatura (cls)</t>
  </si>
  <si>
    <t xml:space="preserve">b0</t>
  </si>
  <si>
    <t xml:space="preserve">Larghezza media della nervatura riempita di cls (per lamiere a coda di rondine: larghezza minima). Dalla scheda lamiera.</t>
  </si>
  <si>
    <t xml:space="preserve">Spessore lamiera</t>
  </si>
  <si>
    <t xml:space="preserve">Dalla scheda lamiera (0,7 - 1,25 mm). Influenza kt,max.</t>
  </si>
  <si>
    <t xml:space="preserve">Pioli saldati attraverso la lamiera?</t>
  </si>
  <si>
    <t xml:space="preserve">SI</t>
  </si>
  <si>
    <t xml:space="preserve">SI = saldatura passante (richiede d &lt;= 20 mm, EC4 6.6.5.8(3)). NO = lamiera preforata.</t>
  </si>
  <si>
    <t xml:space="preserve">Spessore utile cls sopra le nervature</t>
  </si>
  <si>
    <t xml:space="preserve">hc</t>
  </si>
  <si>
    <t xml:space="preserve">Formula: h - hp. Solo questa parte collabora a compressione.</t>
  </si>
  <si>
    <t xml:space="preserve">LARGHEZZA EFFICACE (EC4 5.4.1.2)</t>
  </si>
  <si>
    <t xml:space="preserve">Distanza disponibile lato sinistro (dall'asse trave)</t>
  </si>
  <si>
    <t xml:space="preserve">b1</t>
  </si>
  <si>
    <t xml:space="preserve">Meta' interasse con la trave adiacente, oppure distanza dal bordo libero della soletta per trave di bordo.</t>
  </si>
  <si>
    <t xml:space="preserve">Distanza disponibile lato destro (dall'asse trave)</t>
  </si>
  <si>
    <t xml:space="preserve">b2</t>
  </si>
  <si>
    <t xml:space="preserve">Come sopra, lato opposto.</t>
  </si>
  <si>
    <t xml:space="preserve">Interasse trasversale pioli estremi</t>
  </si>
  <si>
    <t xml:space="preserve">b0,st</t>
  </si>
  <si>
    <t xml:space="preserve">Da foglio 05A: (nr - 1) x et. 0 con una fila di pioli.</t>
  </si>
  <si>
    <t xml:space="preserve">Larghezza efficace lato sinistro</t>
  </si>
  <si>
    <t xml:space="preserve">be1</t>
  </si>
  <si>
    <t xml:space="preserve">Formula: min(Le/8 ; b1 - b0/2) con Le = L (trave appoggiata).</t>
  </si>
  <si>
    <t xml:space="preserve">Larghezza efficace lato destro</t>
  </si>
  <si>
    <t xml:space="preserve">be2</t>
  </si>
  <si>
    <t xml:space="preserve">Formula: min(Le/8 ; b2 - b0/2)</t>
  </si>
  <si>
    <t xml:space="preserve">Larghezza efficace soletta</t>
  </si>
  <si>
    <t xml:space="preserve">beff</t>
  </si>
  <si>
    <t xml:space="preserve">Formula: b0 + be1 + be2 (in mezzeria). Usata per resistenza e rigidezza.</t>
  </si>
  <si>
    <t xml:space="preserve">FASE DI GETTO</t>
  </si>
  <si>
    <t xml:space="preserve">Ala superiore vincolata dalla lamiera in fase di getto?</t>
  </si>
  <si>
    <t xml:space="preserve">SI se la lamiera e' fissata all'ala (chiodatura/saldatura) e funziona da ritegno: niente svergolamento in fase di getto. NO: il foglio segnala che occorre la verifica flesso-torsionale (EN 1993-1-1 6.3.2) a parte.</t>
  </si>
  <si>
    <t xml:space="preserve">ARMATURA TRASVERSALE DELLA SOLETTA (EC4 6.6.6)</t>
  </si>
  <si>
    <t xml:space="preserve">Armatura trasversale che attraversa il piano a-a</t>
  </si>
  <si>
    <t xml:space="preserve">Asf/sf</t>
  </si>
  <si>
    <t xml:space="preserve">mm2/m</t>
  </si>
  <si>
    <t xml:space="preserve">Somma delle barre trasversali (superiori + inferiori) per metro di trave che attraversano la superficie di scorrimento ai lati della trave. Es.: phi8/150 = 335 mm2/m; phi10/200 = 393; phi12/200 = 565 mm2/m. Il contributo della lamiera continua (EC4 6.6.6.4) e' trascurato.</t>
  </si>
  <si>
    <t xml:space="preserve">cot(theta) bielle</t>
  </si>
  <si>
    <t xml:space="preserve">cot</t>
  </si>
  <si>
    <t xml:space="preserve">EC4 6.6.6.2 / EC2 6.2.4(4): ala compressa 1,0 &lt;= cot &lt;= 2,0. 1,0 e' a favore di sicurezza per l'armatura.</t>
  </si>
  <si>
    <t xml:space="preserve">02B - SCENARIO 2: TRAVE IN C.A. ESISTENTE DA RINFORZARE</t>
  </si>
  <si>
    <t xml:space="preserve">Compilare solo se SCENARIO = 2. Geometria da rilievo, resistenza del cls da prove (carote/sclerometro-SonReb tarati) e Livello di Conoscenza secondo NTC cap. 8 / Circ. 2019. Il profilo in acciaio e' posto sotto l'intradosso della trave, con eventuale strato di malta/resina di allettamento.</t>
  </si>
  <si>
    <t xml:space="preserve">GEOMETRIA</t>
  </si>
  <si>
    <t xml:space="preserve">Larghezza anima trave esistente</t>
  </si>
  <si>
    <t xml:space="preserve">bw</t>
  </si>
  <si>
    <t xml:space="preserve">Larghezza dell'intradosso dove si fissa il profilo (da rilievo).</t>
  </si>
  <si>
    <t xml:space="preserve">Altezza totale trave (compreso solaio)</t>
  </si>
  <si>
    <t xml:space="preserve">H</t>
  </si>
  <si>
    <t xml:space="preserve">Dall'intradosso trave all'estradosso della soletta (o della trave se a spessore/emergente senza soletta).</t>
  </si>
  <si>
    <t xml:space="preserve">Spessore soletta collaborante</t>
  </si>
  <si>
    <t xml:space="preserve">hf</t>
  </si>
  <si>
    <t xml:space="preserve">Spessore della soletta piena superiore (es. 40-50 mm nel laterocemento). 0 se assente: la sezione cls diventa rettangolare bw x H.</t>
  </si>
  <si>
    <t xml:space="preserve">Meta' interasse con la trave adiacente o distanza dal bordo del solaio.</t>
  </si>
  <si>
    <t xml:space="preserve">Come sopra.</t>
  </si>
  <si>
    <t xml:space="preserve">Larghezza efficace della soletta</t>
  </si>
  <si>
    <t xml:space="preserve">Formula: bw + somma min(L/8 ; bi - bw/2) (EC4 5.4.1.2 con b0 = bw). Se hf = 0 vale bw.</t>
  </si>
  <si>
    <t xml:space="preserve">Spessore malta/resina tra intradosso e ala del profilo</t>
  </si>
  <si>
    <t xml:space="preserve">tg</t>
  </si>
  <si>
    <t xml:space="preserve">Strato di allettamento per regolarizzare l'intradosso. Se tg &gt; d/2 della barra o malta &lt; 30 MPa, la barra lavora con braccio di leva (EN 1992-4 6.2.2.3) e la resistenza a taglio acciaio si riduce molto.</t>
  </si>
  <si>
    <t xml:space="preserve">Malta di allettamento con fc &gt;= 30 MPa?</t>
  </si>
  <si>
    <t xml:space="preserve">Condizione EN 1992-4 6.2.2.3 per trascurare il braccio di leva (insieme a tg &lt;= d/2).</t>
  </si>
  <si>
    <t xml:space="preserve">CALCESTRUZZO ESISTENTE (NTC 8.5.4 - Circ. C8.5.4)</t>
  </si>
  <si>
    <t xml:space="preserve">Resistenza media cilindrica da prove</t>
  </si>
  <si>
    <t xml:space="preserve">fcm</t>
  </si>
  <si>
    <t xml:space="preserve">Valore medio della resistenza cilindrica in situ (carote: fc,cil). Se si dispone di Rc cubica: fcm ~ 0,83 Rcm. Il valore e' diviso per FC.</t>
  </si>
  <si>
    <t xml:space="preserve">Livello di conoscenza</t>
  </si>
  <si>
    <t xml:space="preserve">LC</t>
  </si>
  <si>
    <t xml:space="preserve">LC2</t>
  </si>
  <si>
    <t xml:space="preserve">Circ. 7/2019 Tab. C8.5.IV: LC1 -&gt; FC 1,35; LC2 -&gt; 1,20; LC3 -&gt; 1,00.</t>
  </si>
  <si>
    <t xml:space="preserve">Fattore di confidenza</t>
  </si>
  <si>
    <t xml:space="preserve">FC</t>
  </si>
  <si>
    <t xml:space="preserve">fck equivalente usata nei calcoli</t>
  </si>
  <si>
    <t xml:space="preserve">fcm/FC</t>
  </si>
  <si>
    <t xml:space="preserve">Resistenza usata per sezione composta e ancoranti (al posto di fck).</t>
  </si>
  <si>
    <t xml:space="preserve">I carichi G2 sono gia' presenti prima del rinforzo?</t>
  </si>
  <si>
    <t xml:space="preserve">SI: G2 e' gia' portato dalla trave c.a. esistente (non grava sulla composta salvo puntellamento/martinettatura). NO: G2 viene applicato dopo il rinforzo e grava sulla composta.</t>
  </si>
  <si>
    <t xml:space="preserve">Carichi che gravano sulla sezione composta</t>
  </si>
  <si>
    <t xml:space="preserve">SOLO SUCCESSIVI</t>
  </si>
  <si>
    <t xml:space="preserve">SOLO SUCCESSIVI: la trave NON viene scaricata prima del collegamento; i carichi gia' presenti (G1 e, se gia' presenti, G2) restano sulla trave c.a. esistente (da verificare a parte) e la composta (profilo + inghisaggi) porta solo i carichi applicati dopo. TUTTI: la trave viene puntellata/martinettata e poi rilasciata a collegamento avvenuto, oppure si vuole un calcolo cautelativo: tutto il carico su profilo e connessione.</t>
  </si>
  <si>
    <t xml:space="preserve">Controllo ala profilo &lt;= larghezza trave</t>
  </si>
  <si>
    <t xml:space="preserve">Il profilo deve appoggiare interamente sotto l'intradosso.</t>
  </si>
  <si>
    <t xml:space="preserve">NOTA: prima dell'intervento verificare con pacometro/saggi la posizione di staffe e ferri longitudinali inferiori per evitare di tranciarli con le forature; verificare a parte la trave c.a. esistente per i carichi presenti prima della messa in opera del profilo (se non si scarica/puntella la trave).</t>
  </si>
  <si>
    <t xml:space="preserve">03 - SEZIONE COMPOSTA: RESISTENZA PLASTICA E PROPRIETA' ELASTICHE OMOGENEIZZATE</t>
  </si>
  <si>
    <t xml:space="preserve">Foglio automatico. La sezione e' descritta a strati dall'estradosso: [1] cls superiore (soletta), [2] cls inferiore (anima trave c.a. nel sc.2; nervature lamiera, non collaboranti, nel sc.1), [3] malta (sc.2, non collaborante), [4-8] profilo in acciaio. L'asse neutro plastico si trova imponendo l'equilibrio alla traslazione (dispensa eq. 4.1-4.2, EC4 6.2.1.2).</t>
  </si>
  <si>
    <t xml:space="preserve">GEOMETRIA ATTIVA DEL CALCESTRUZZO</t>
  </si>
  <si>
    <t xml:space="preserve">Larghezza strato cls superiore</t>
  </si>
  <si>
    <t xml:space="preserve">Sc.1: beff soletta. Sc.2: beff soletta collaborante (o bw).</t>
  </si>
  <si>
    <t xml:space="preserve">Spessore strato cls superiore</t>
  </si>
  <si>
    <t xml:space="preserve">t1</t>
  </si>
  <si>
    <t xml:space="preserve">Sc.1: hc = h - hp. Sc.2: hf.</t>
  </si>
  <si>
    <t xml:space="preserve">Larghezza strato cls inferiore</t>
  </si>
  <si>
    <t xml:space="preserve">Sc.1: 0 (nervature trascurate). Sc.2: bw.</t>
  </si>
  <si>
    <t xml:space="preserve">Spessore strato cls inferiore</t>
  </si>
  <si>
    <t xml:space="preserve">t2</t>
  </si>
  <si>
    <t xml:space="preserve">Sc.1: hp. Sc.2: H - hf.</t>
  </si>
  <si>
    <t xml:space="preserve">Spessore malta (non collaborante)</t>
  </si>
  <si>
    <t xml:space="preserve">Profondita' estradosso profilo</t>
  </si>
  <si>
    <t xml:space="preserve">y,st</t>
  </si>
  <si>
    <t xml:space="preserve">Distanza dall'estradosso cls al lembo superiore del profilo.</t>
  </si>
  <si>
    <t xml:space="preserve">Altezza totale sezione composta</t>
  </si>
  <si>
    <t xml:space="preserve">Htot</t>
  </si>
  <si>
    <t xml:space="preserve">CALCOLO PLASTICO A STRATI (N, mm)</t>
  </si>
  <si>
    <t xml:space="preserve">f [MPa]</t>
  </si>
  <si>
    <t xml:space="preserve">k (1 cls / 2 acc.)</t>
  </si>
  <si>
    <t xml:space="preserve">acciaio?</t>
  </si>
  <si>
    <t xml:space="preserve">w=b*f [N/mm]</t>
  </si>
  <si>
    <t xml:space="preserve">x cand. [mm]</t>
  </si>
  <si>
    <t xml:space="preserve">t compresso</t>
  </si>
  <si>
    <t xml:space="preserve">t teso (acc.)</t>
  </si>
  <si>
    <t xml:space="preserve">C cls [N]</t>
  </si>
  <si>
    <t xml:space="preserve">[1] cls superiore</t>
  </si>
  <si>
    <t xml:space="preserve">[2] cls inferiore</t>
  </si>
  <si>
    <t xml:space="preserve">[3] malta (no)</t>
  </si>
  <si>
    <t xml:space="preserve">[4] Ala superiore</t>
  </si>
  <si>
    <t xml:space="preserve">[5] Raccordi superiori</t>
  </si>
  <si>
    <t xml:space="preserve">[6] Anima</t>
  </si>
  <si>
    <t xml:space="preserve">[7] Raccordi inferiori</t>
  </si>
  <si>
    <t xml:space="preserve">[8] Ala inferiore</t>
  </si>
  <si>
    <t xml:space="preserve">Metodo: g(y) = (compressioni sopra y) - (trazioni sotto y); per ogni strato si calcola g al lembo superiore e inferiore; l'asse neutro e' nello strato dove g passa da negativo a positivo (interpolazione lineare esatta per strati a larghezza costante). Il momento plastico e' la somma dei momenti delle risultanti rispetto all'asse neutro.</t>
  </si>
  <si>
    <t xml:space="preserve">RISULTATI PLASTICI (SLU)</t>
  </si>
  <si>
    <t xml:space="preserve">Asse neutro plastico dall'estradosso</t>
  </si>
  <si>
    <t xml:space="preserve">xpl</t>
  </si>
  <si>
    <t xml:space="preserve">Posizione asse neutro plastico</t>
  </si>
  <si>
    <t xml:space="preserve">Se nell'anima, controllare la classe dell'anima (sotto).</t>
  </si>
  <si>
    <t xml:space="preserve">Forza di scorrimento per connessione completa</t>
  </si>
  <si>
    <t xml:space="preserve">Ncf</t>
  </si>
  <si>
    <t xml:space="preserve">Formula: risultante di compressione nel cls = min(Rc ; Ra) (dispensa eq. 7.5). Da trasferire con i connettori tra appoggio e mezzeria.</t>
  </si>
  <si>
    <t xml:space="preserve">Resistenza a compressione cls totale</t>
  </si>
  <si>
    <t xml:space="preserve">Rc</t>
  </si>
  <si>
    <t xml:space="preserve">Formula: somma fcd x area cls collaborante</t>
  </si>
  <si>
    <t xml:space="preserve">Momento resistente plastico sezione composta</t>
  </si>
  <si>
    <t xml:space="preserve">Mpl,Rd</t>
  </si>
  <si>
    <t xml:space="preserve">Connessione completa (eta = 1).</t>
  </si>
  <si>
    <t xml:space="preserve">Rapporto Mpl,Rd / Mpl,a,Rd</t>
  </si>
  <si>
    <t xml:space="preserve">Incremento di resistenza dovuto alla collaborazione (dispensa: tipicamente 1,25-2).</t>
  </si>
  <si>
    <t xml:space="preserve">CLASSE DELLA SEZIONE IN CAMPO PLASTICO (EC4 5.5, EN 1993-1-1 Tab. 5.2)</t>
  </si>
  <si>
    <t xml:space="preserve">Altezza netta anima</t>
  </si>
  <si>
    <t xml:space="preserve">c</t>
  </si>
  <si>
    <t xml:space="preserve">Quota compressa dell'anima</t>
  </si>
  <si>
    <t xml:space="preserve">alfa</t>
  </si>
  <si>
    <t xml:space="preserve">0 se l'asse neutro e' sopra l'anima (anima tutta tesa).</t>
  </si>
  <si>
    <t xml:space="preserve">Limite c/tw per classe 2</t>
  </si>
  <si>
    <t xml:space="preserve">EN 1993-1-1 Tab. 5.2: alfa&gt;0,5 -&gt; 456eps/(13alfa-1); alfa&lt;=0,5 -&gt; 41,5eps/alfa.</t>
  </si>
  <si>
    <t xml:space="preserve">Anima di classe 1 o 2?</t>
  </si>
  <si>
    <t xml:space="preserve">Ala superiore compressa</t>
  </si>
  <si>
    <t xml:space="preserve">Calcolo plastico ammesso (1=si)</t>
  </si>
  <si>
    <t xml:space="preserve">PROPRIETA' ELASTICHE OMOGENEIZZATE ALL'ACCIAIO (cls teso trascurato)</t>
  </si>
  <si>
    <t xml:space="preserve">Calcolo con due rapporti modulari: n0 (carichi di breve durata, Q) e nL (carichi permanenti). Asse neutro: soluzione dell'equazione di 2° grado nello strato di cls in cui cade (dispensa eq. 3.1-3.4), altrimenti sezione interamente reagente. S_int = momento statico dell'acciaio rispetto all'asse neutro = momento statico per il flusso di scorrimento all'interfaccia.</t>
  </si>
  <si>
    <t xml:space="preserve">Area strato cls superiore</t>
  </si>
  <si>
    <t xml:space="preserve">Ac1</t>
  </si>
  <si>
    <t xml:space="preserve">Area strato cls inferiore</t>
  </si>
  <si>
    <t xml:space="preserve">Ac2</t>
  </si>
  <si>
    <t xml:space="preserve">Profondita' baricentro acciaio</t>
  </si>
  <si>
    <t xml:space="preserve">ys</t>
  </si>
  <si>
    <t xml:space="preserve">SEZIONE ELASTICA - BREVE TERMINE (n0)</t>
  </si>
  <si>
    <t xml:space="preserve">Asse neutro se nel cls superiore</t>
  </si>
  <si>
    <t xml:space="preserve">x1</t>
  </si>
  <si>
    <t xml:space="preserve">(b1/2n) x^2 + Aa x - Aa ys = 0</t>
  </si>
  <si>
    <t xml:space="preserve">Termine noto strato inferiore</t>
  </si>
  <si>
    <t xml:space="preserve">S0</t>
  </si>
  <si>
    <t xml:space="preserve">Coefficiente B strato inferiore</t>
  </si>
  <si>
    <t xml:space="preserve">B</t>
  </si>
  <si>
    <t xml:space="preserve">Asse neutro se nel cls inferiore (da t1)</t>
  </si>
  <si>
    <t xml:space="preserve">u</t>
  </si>
  <si>
    <t xml:space="preserve">(b2/2n) u^2 + B u + S0 = 0</t>
  </si>
  <si>
    <t xml:space="preserve">Asse neutro se sezione cls tutta compressa</t>
  </si>
  <si>
    <t xml:space="preserve">x3</t>
  </si>
  <si>
    <t xml:space="preserve">ASSE NEUTRO ELASTICO dall'estradosso</t>
  </si>
  <si>
    <t xml:space="preserve">x</t>
  </si>
  <si>
    <t xml:space="preserve">Altezza compressa strato superiore</t>
  </si>
  <si>
    <t xml:space="preserve">Altezza compressa strato inferiore</t>
  </si>
  <si>
    <t xml:space="preserve">Momento d'inerzia omogeneizzato</t>
  </si>
  <si>
    <t xml:space="preserve">Jid</t>
  </si>
  <si>
    <t xml:space="preserve">Dispensa eq. 3.2 / 3.4 generalizzate.</t>
  </si>
  <si>
    <t xml:space="preserve">Momento statico all'interfaccia</t>
  </si>
  <si>
    <t xml:space="preserve">S</t>
  </si>
  <si>
    <t xml:space="preserve">Formula: Aa (ys - x) = momento statico della parte sopra l'interfaccia.</t>
  </si>
  <si>
    <t xml:space="preserve">Modulo resistente lembo inferiore acciaio</t>
  </si>
  <si>
    <t xml:space="preserve">Wi</t>
  </si>
  <si>
    <t xml:space="preserve">Rapporto Jid / Ia</t>
  </si>
  <si>
    <t xml:space="preserve">Incremento di rigidezza (dispensa: fino a ~3).</t>
  </si>
  <si>
    <t xml:space="preserve">SEZIONE ELASTICA - LUNGO TERMINE (nL)</t>
  </si>
  <si>
    <t xml:space="preserve">04 - VERIFICHE DELLA TRAVE COMPOSTA (SLU flessione e taglio, fase di getto, tensioni elastiche, frecce SLE)</t>
  </si>
  <si>
    <t xml:space="preserve">Foglio automatico. Grado di connessione eta preso da 05A (sc.1, pioli) o 05B (sc.2, inghisaggi).</t>
  </si>
  <si>
    <t xml:space="preserve">SLU - FLESSIONE (resistenza plastica, EC4 6.2.1)</t>
  </si>
  <si>
    <t xml:space="preserve">Grado di connessione</t>
  </si>
  <si>
    <t xml:space="preserve">eta</t>
  </si>
  <si>
    <t xml:space="preserve">Sc.1: da 05A. Sc.2: da 05B (con criterio PLASTICA; con ELASTICA e' solo indicativo).</t>
  </si>
  <si>
    <t xml:space="preserve">Momento resistente di progetto</t>
  </si>
  <si>
    <t xml:space="preserve">MRd</t>
  </si>
  <si>
    <t xml:space="preserve">eta&gt;=1: Mpl,Rd. Sc.1 con eta&lt;1 (pioli duttili): MRd = Mpl,a + eta (Mpl - Mpl,a) (EC4 6.2.1.3(5), dispensa eq. 7.8). Sc.2 con eta&lt;1: connessione parziale NON ammessa con ancoranti non duttili -&gt; si assume la sola trave in acciaio.</t>
  </si>
  <si>
    <t xml:space="preserve">Rapporto MEd / MRd</t>
  </si>
  <si>
    <t xml:space="preserve">Se la sezione non e' di classe 1-2 il calcolo plastico non e' ammesso (rapporto forzato a 99).</t>
  </si>
  <si>
    <t xml:space="preserve">Esito flessione plastica</t>
  </si>
  <si>
    <t xml:space="preserve">Sc.2 con criterio ELASTICA: vale la verifica tensionale sotto.</t>
  </si>
  <si>
    <t xml:space="preserve">Sc.1: grado di connessione minimo</t>
  </si>
  <si>
    <t xml:space="preserve">eta,min</t>
  </si>
  <si>
    <t xml:space="preserve">EC4 6.6.1.2(1) ali uguali, Le&lt;=25 m: eta &gt;= 1 - (355/fy)(0,75 - 0,03 Le) e &gt;= 0,4. Per ali disuguali vedere EC4 6.6.1.2(1) seconda formula.</t>
  </si>
  <si>
    <t xml:space="preserve">Sc.1: verifica grado di connessione minimo</t>
  </si>
  <si>
    <t xml:space="preserve">SLU - TAGLIO (sola anima del profilo, EC4 6.2.2.2)</t>
  </si>
  <si>
    <t xml:space="preserve">Rapporto VEd / Vpl,a,Rd</t>
  </si>
  <si>
    <t xml:space="preserve">Taglio interamente affidato al profilo.</t>
  </si>
  <si>
    <t xml:space="preserve">Esito taglio</t>
  </si>
  <si>
    <t xml:space="preserve">Interazione M-V</t>
  </si>
  <si>
    <t xml:space="preserve">Per trave appoggiata con carico uniforme M max e V max non coincidono: generalmente trascurabile.</t>
  </si>
  <si>
    <t xml:space="preserve">SCORRIMENTO ALL'INTERFACCIA ACCIAIO-CALCESTRUZZO (metodo elastico, dispensa eq. 7.1-7.2)</t>
  </si>
  <si>
    <t xml:space="preserve">Flusso di scorrimento all'appoggio</t>
  </si>
  <si>
    <t xml:space="preserve">vEd</t>
  </si>
  <si>
    <t xml:space="preserve">N/mm</t>
  </si>
  <si>
    <t xml:space="preserve">Formula: VEd,G S(nL)/Jid(nL) + VEd,Q S(n0)/Jid(n0), con i soli carichi applicati alla sezione composta (Jourawski).</t>
  </si>
  <si>
    <t xml:space="preserve">Forza di scorrimento elastica appoggio-mezzeria</t>
  </si>
  <si>
    <t xml:space="preserve">Fel</t>
  </si>
  <si>
    <t xml:space="preserve">Formula: MEd S / Jid (risultante delle compressioni nel cls in mezzeria, dispensa eq. 7.2: V = M/z).</t>
  </si>
  <si>
    <t xml:space="preserve">SC.1 - FASE DI GETTO (trave non puntellata, sola trave in acciaio)</t>
  </si>
  <si>
    <t xml:space="preserve">Rapporto MEd,c / Ma,Rd</t>
  </si>
  <si>
    <t xml:space="preserve">Ma,Rd = Mpl,a (classe 1-2) o Mel,a (classe 3).</t>
  </si>
  <si>
    <t xml:space="preserve">Esito flessione fase di getto</t>
  </si>
  <si>
    <t xml:space="preserve">Rapporto VEd,c / Vpl,a,Rd</t>
  </si>
  <si>
    <t xml:space="preserve">Esito taglio fase di getto</t>
  </si>
  <si>
    <t xml:space="preserve">Svergolamento in fase di getto</t>
  </si>
  <si>
    <t xml:space="preserve">SLU - TENSIONI ELASTICHE (metodo n, per fasi)  - vincolante per sc.2 con criterio ELASTICA</t>
  </si>
  <si>
    <t xml:space="preserve">Tensione lembo inferiore acciaio</t>
  </si>
  <si>
    <t xml:space="preserve">sigma,a</t>
  </si>
  <si>
    <t xml:space="preserve">Formula: M_G1/Wa (sc.1 non puntellata) + (quote di G1, G2 sulla composta) / Wi(nL) + M_Q / Wi(n0). Sc.2 'SOLO SUCCESSIVI': il profilo non e' sollecitato dai carichi gia' presenti.</t>
  </si>
  <si>
    <t xml:space="preserve">Tensione lembo superiore cls</t>
  </si>
  <si>
    <t xml:space="preserve">sigma,c</t>
  </si>
  <si>
    <t xml:space="preserve">Formula: M x / (n Jid) per ciascuna aliquota applicata alla composta (sc.2: escluse le tensioni gia' presenti nella trave esistente)</t>
  </si>
  <si>
    <t xml:space="preserve">Rapporto sigma,a / fyd</t>
  </si>
  <si>
    <t xml:space="preserve">Rapporto sigma,c / fcd</t>
  </si>
  <si>
    <t xml:space="preserve">Esito tensione acciaio</t>
  </si>
  <si>
    <t xml:space="preserve">Per sc.1 e sc.2-PLASTICA i valori sono informativi (vale la verifica plastica).</t>
  </si>
  <si>
    <t xml:space="preserve">Esito tensione calcestruzzo</t>
  </si>
  <si>
    <t xml:space="preserve">Sc.2: la tensione nel cls si somma a quella gia' presente per i carichi esistenti: verificare la trave c.a. a parte.</t>
  </si>
  <si>
    <t xml:space="preserve">SLE - DEFORMABILITA' (trave appoggiata, carichi caratteristici)</t>
  </si>
  <si>
    <t xml:space="preserve">Freccia da G1</t>
  </si>
  <si>
    <t xml:space="preserve">f,G1</t>
  </si>
  <si>
    <t xml:space="preserve">Sc.1 non puntellata: sulla sola trave in acciaio (Ia); puntellata: sulla composta (nL). Sc.2: 0 se 'SOLO SUCCESSIVI' (gia' avvenuta), sulla composta se 'TUTTI'.</t>
  </si>
  <si>
    <t xml:space="preserve">Freccia da G2</t>
  </si>
  <si>
    <t xml:space="preserve">f,G2</t>
  </si>
  <si>
    <t xml:space="preserve">Sulla composta con nL (0 se G2 gia' presente e non trasferito, sc.2).</t>
  </si>
  <si>
    <t xml:space="preserve">Freccia da Q</t>
  </si>
  <si>
    <t xml:space="preserve">f,Q</t>
  </si>
  <si>
    <t xml:space="preserve">Sulla composta con n0.</t>
  </si>
  <si>
    <t xml:space="preserve">Freccia totale (incremento per sc.2)</t>
  </si>
  <si>
    <t xml:space="preserve">f,tot</t>
  </si>
  <si>
    <t xml:space="preserve">Non include contromonta.</t>
  </si>
  <si>
    <t xml:space="preserve">Rapporto f,tot / (L/lim)</t>
  </si>
  <si>
    <t xml:space="preserve">Esito freccia totale</t>
  </si>
  <si>
    <t xml:space="preserve">Rapporto f,Q / (L/lim)</t>
  </si>
  <si>
    <t xml:space="preserve">Esito freccia variabili</t>
  </si>
  <si>
    <t xml:space="preserve">Freccia quasi permanente (informativa)</t>
  </si>
  <si>
    <t xml:space="preserve">G1 + G2 + psi2 Q</t>
  </si>
  <si>
    <t xml:space="preserve">05A - SCENARIO 1: CONNETTORI A PIOLO (Nelson) - resistenza, numero, grado di connessione, dettagli, armatura trasversale</t>
  </si>
  <si>
    <t xml:space="preserve">Compilare solo se SCENARIO = 1. Resistenza del piolo (NTC 4.3.4.3.1.2 / EC4 6.6.3.1, dispensa eq. 7.3-7.4) ridotta per lamiera grecata (EC4 6.6.4). Numero di pioli calcolato tra appoggio e mezzeria per la forza Ncf (connessione completa) con pioli duttili a passo costante.</t>
  </si>
  <si>
    <t xml:space="preserve">DATI PIOLI</t>
  </si>
  <si>
    <t xml:space="preserve">Diametro gambo piolo</t>
  </si>
  <si>
    <t xml:space="preserve">d</t>
  </si>
  <si>
    <t xml:space="preserve">Diametri commerciali 13-16-19-22-25 mm. Saldatura passante attraverso lamiera: d &lt;= 20 mm (EC4 6.6.5.8(3)). EC4 6.6.3.1: 16 &lt;= d &lt;= 25.</t>
  </si>
  <si>
    <t xml:space="preserve">Altezza nominale piolo dopo la saldatura</t>
  </si>
  <si>
    <t xml:space="preserve">hsc</t>
  </si>
  <si>
    <t xml:space="preserve">Altezza complessiva dopo saldatura (circa 5 mm meno della lunghezza nominale). Con lamiera: hsc &gt;= hp + 2d.</t>
  </si>
  <si>
    <t xml:space="preserve">Resistenza a rottura acciaio piolo</t>
  </si>
  <si>
    <t xml:space="preserve">fu</t>
  </si>
  <si>
    <t xml:space="preserve">Tipicamente 450 MPa (S235J2+C450). Limitata a 500 MPa (450 con lamiera trasversale) nel calcolo.</t>
  </si>
  <si>
    <t xml:space="preserve">Pioli per nervatura / per fila</t>
  </si>
  <si>
    <t xml:space="preserve">nr</t>
  </si>
  <si>
    <t xml:space="preserve">1 o 2 (EC4 kt per nr &lt;= 2).</t>
  </si>
  <si>
    <t xml:space="preserve">Interasse trasversale tra pioli della stessa fila</t>
  </si>
  <si>
    <t xml:space="preserve">et</t>
  </si>
  <si>
    <t xml:space="preserve">Solo se nr = 2: &gt;= 4d (con lamiera) o 2,5d (soletta piena). Con nr = 1 lasciare 0.</t>
  </si>
  <si>
    <t xml:space="preserve">Passo longitudinale delle file di pioli</t>
  </si>
  <si>
    <t xml:space="preserve">s</t>
  </si>
  <si>
    <t xml:space="preserve">Con lamiera trasversale: multiplo del passo delle greche (es. 150, 300 mm). Limiti: s &gt;= 5d; s &lt;= min(6h ; 800).</t>
  </si>
  <si>
    <t xml:space="preserve">gamma V</t>
  </si>
  <si>
    <t xml:space="preserve">gV</t>
  </si>
  <si>
    <t xml:space="preserve">NTC 4.3.4.3.1.2 / EC4: 1,25.</t>
  </si>
  <si>
    <t xml:space="preserve">RESISTENZA DEL SINGOLO PIOLO</t>
  </si>
  <si>
    <t xml:space="preserve">fu di calcolo (limitata)</t>
  </si>
  <si>
    <t xml:space="preserve">fu,d</t>
  </si>
  <si>
    <t xml:space="preserve">EC4 6.6.3.1 (&lt;=500) e 6.6.4.2(2) (&lt;=450 con lamiera trasversale).</t>
  </si>
  <si>
    <t xml:space="preserve">Rapporto hsc/d</t>
  </si>
  <si>
    <t xml:space="preserve">&gt;= 3 obbligatorio.</t>
  </si>
  <si>
    <t xml:space="preserve">Coefficiente alfa</t>
  </si>
  <si>
    <t xml:space="preserve">Formula: 0,2 (hsc/d + 1) per 3&lt;=hsc/d&lt;=4; = 1 per hsc/d &gt; 4</t>
  </si>
  <si>
    <t xml:space="preserve">Resistenza lato acciaio</t>
  </si>
  <si>
    <t xml:space="preserve">PRd,a</t>
  </si>
  <si>
    <t xml:space="preserve">Formula: 0,8 fu (pi d^2/4) / gV  (dispensa eq. 7.3)</t>
  </si>
  <si>
    <t xml:space="preserve">Resistenza lato calcestruzzo</t>
  </si>
  <si>
    <t xml:space="preserve">PRd,c</t>
  </si>
  <si>
    <t xml:space="preserve">Formula: 0,29 alfa d^2 sqrt(fck Ecm) / gV  (dispensa eq. 7.4)</t>
  </si>
  <si>
    <t xml:space="preserve">Resistenza piolo in soletta piena</t>
  </si>
  <si>
    <t xml:space="preserve">PRd</t>
  </si>
  <si>
    <t xml:space="preserve">RIDUZIONE PER LAMIERA GRECATA (EC4 6.6.4)</t>
  </si>
  <si>
    <t xml:space="preserve">hsc usata nelle formule</t>
  </si>
  <si>
    <t xml:space="preserve">EC4 6.6.4.1: hsc &lt;= hp + 75 mm.</t>
  </si>
  <si>
    <t xml:space="preserve">Fattore kl (nervature parallele)</t>
  </si>
  <si>
    <t xml:space="preserve">kl</t>
  </si>
  <si>
    <t xml:space="preserve">EC4 eq. 6.22: 0,6 (b0/hp)(hsc/hp - 1) &lt;= 1</t>
  </si>
  <si>
    <t xml:space="preserve">kt,max</t>
  </si>
  <si>
    <t xml:space="preserve">EC4 Tab. 6.2 (foglio DB).</t>
  </si>
  <si>
    <t xml:space="preserve">Fattore kt (nervature trasversali)</t>
  </si>
  <si>
    <t xml:space="preserve">kt</t>
  </si>
  <si>
    <t xml:space="preserve">EC4 eq. 6.23: 0,7/sqrt(nr) (b0/hp)(hsc/hp - 1) &lt;= kt,max</t>
  </si>
  <si>
    <t xml:space="preserve">Fattore di riduzione adottato</t>
  </si>
  <si>
    <t xml:space="preserve">k</t>
  </si>
  <si>
    <t xml:space="preserve">RESISTENZA DI PROGETTO DEL PIOLO</t>
  </si>
  <si>
    <t xml:space="preserve">PRd,red</t>
  </si>
  <si>
    <t xml:space="preserve">Formula: k PRd</t>
  </si>
  <si>
    <t xml:space="preserve">NUMERO DI PIOLI E GRADO DI CONNESSIONE</t>
  </si>
  <si>
    <t xml:space="preserve">Pioli necessari per connessione completa (meta' luce)</t>
  </si>
  <si>
    <t xml:space="preserve">nf</t>
  </si>
  <si>
    <t xml:space="preserve">Formula: Ncf / PRd,red  (dispensa: np = V / PRd)</t>
  </si>
  <si>
    <t xml:space="preserve">Pioli disposti tra appoggio e mezzeria</t>
  </si>
  <si>
    <t xml:space="preserve">n</t>
  </si>
  <si>
    <t xml:space="preserve">Formula: nr x int(L/2 / s)</t>
  </si>
  <si>
    <t xml:space="preserve">&gt;= 1 connessione completa; &lt; 1 parziale (ammessa se &gt;= eta,min, foglio 04).</t>
  </si>
  <si>
    <t xml:space="preserve">Pioli totali sulla trave (indicativo)</t>
  </si>
  <si>
    <t xml:space="preserve">Flusso di scorrimento elastico all'appoggio (info)</t>
  </si>
  <si>
    <t xml:space="preserve">Da foglio 04. Con pioli duttili il passo costante e' ammesso (EC4 6.6.1.3(3)): valore informativo.</t>
  </si>
  <si>
    <t xml:space="preserve">Rapporto flusso / capacita' locale (info)</t>
  </si>
  <si>
    <t xml:space="preserve">DETTAGLI COSTRUTTIVI (EC4 6.6.5)</t>
  </si>
  <si>
    <t xml:space="preserve">hsc &gt;= 3d</t>
  </si>
  <si>
    <t xml:space="preserve">EC4 6.6.5.7(1)</t>
  </si>
  <si>
    <t xml:space="preserve">hsc &gt;= hp + 2d (con lamiera)</t>
  </si>
  <si>
    <t xml:space="preserve">EC4 6.6.5.8(1): il piolo deve sporgere almeno 2d sopra la lamiera.</t>
  </si>
  <si>
    <t xml:space="preserve">d &lt;= 20 mm con saldatura passante</t>
  </si>
  <si>
    <t xml:space="preserve">EC4 6.6.5.8(3)</t>
  </si>
  <si>
    <t xml:space="preserve">d &lt;= 2,5 tf (piolo non in asse anima)</t>
  </si>
  <si>
    <t xml:space="preserve">EC4 6.6.5.7(5)</t>
  </si>
  <si>
    <t xml:space="preserve">Passo s &gt;= 5d</t>
  </si>
  <si>
    <t xml:space="preserve">EC4 6.6.5.7(4)</t>
  </si>
  <si>
    <t xml:space="preserve">Passo s &lt;= min(6 h ; 800 mm)</t>
  </si>
  <si>
    <t xml:space="preserve">EC4 6.6.5.5(3)</t>
  </si>
  <si>
    <t xml:space="preserve">Interasse trasversale et (nr=2)</t>
  </si>
  <si>
    <t xml:space="preserve">EC4 6.6.5.7(4): 2,5d soletta piena, 4d altrimenti.</t>
  </si>
  <si>
    <t xml:space="preserve">Distanza bordo piolo - bordo ala &gt;= 20 mm</t>
  </si>
  <si>
    <t xml:space="preserve">EC4 6.6.5.6(2)</t>
  </si>
  <si>
    <t xml:space="preserve">Ala classe 1 per vincolo connettori: s &lt;= 22 tf eps</t>
  </si>
  <si>
    <t xml:space="preserve">EC4 6.6.5.5(2) soletta piena; con lamiera 15 tf eps.</t>
  </si>
  <si>
    <t xml:space="preserve">ARMATURA TRASVERSALE - SCORRIMENTO NELLA SOLETTA (EC4 6.6.6, EC2 6.2.4)</t>
  </si>
  <si>
    <t xml:space="preserve">Forza da trasferire su un lato (piano a-a)</t>
  </si>
  <si>
    <t xml:space="preserve">dF</t>
  </si>
  <si>
    <t xml:space="preserve">Formula: eta Ncf x be,i / beff (lato piu' largo)</t>
  </si>
  <si>
    <t xml:space="preserve">Tensione tangenziale sul piano a-a</t>
  </si>
  <si>
    <t xml:space="preserve">Formula: dF / (hc x L/2); contributo lamiera trascurato (come nella dispensa).</t>
  </si>
  <si>
    <t xml:space="preserve">Armatura trasversale necessaria</t>
  </si>
  <si>
    <t xml:space="preserve">Asf/sf,req</t>
  </si>
  <si>
    <t xml:space="preserve">Formula: vEd hc / (fyd cot theta)</t>
  </si>
  <si>
    <t xml:space="preserve">Rapporto richiesta / disposta</t>
  </si>
  <si>
    <t xml:space="preserve">Esito armatura trasversale</t>
  </si>
  <si>
    <t xml:space="preserve">Resistenza bielle compresse</t>
  </si>
  <si>
    <t xml:space="preserve">vRd,max</t>
  </si>
  <si>
    <t xml:space="preserve">Formula: nu fcd sin(theta) cos(theta), nu = 0,6 (1 - fck/250)</t>
  </si>
  <si>
    <t xml:space="preserve">Rapporto vEd / vRd,max</t>
  </si>
  <si>
    <t xml:space="preserve">Esito bielle</t>
  </si>
  <si>
    <t xml:space="preserve">05B - SCENARIO 2: CONNESSIONE PROFILO / TRAVE C.A. CON BARRE FILETTATE INGHISATE (ancorante chimico)</t>
  </si>
  <si>
    <t xml:space="preserve">Compilare solo se SCENARIO = 2. Le barre attraversano l'ala superiore del profilo (fori riempiti) e sono inghisate nell'intradosso della trave esistente, su 1 o 2 file ai lati dell'anima. Verifiche per singolo ancorante secondo EN 1992-4 (acciaio, rifollamento ala, cono, aderenza, bordo laterale con taglio parallelo al bordo, pry-out, interazione N-V).</t>
  </si>
  <si>
    <t xml:space="preserve">CRITERIO DI PROGETTO DELLA CONNESSIONE</t>
  </si>
  <si>
    <t xml:space="preserve">Criterio di progetto</t>
  </si>
  <si>
    <t xml:space="preserve">ELASTICA</t>
  </si>
  <si>
    <t xml:space="preserve">ELASTICA (consigliato): gli ancoranti trasferiscono la forza di scorrimento elastica F = MEd S/Jid e il flusso VEd S/Jid; la flessione si verifica a tensioni (foglio 04). PLASTICA: gli ancoranti devono trasferire la piena forza plastica Ncf (eta &gt;= 1) e la flessione si verifica con Mpl,Rd. Connessione parziale non ammessa (ancoranti non duttili, EC4 6.6.1.1).</t>
  </si>
  <si>
    <t xml:space="preserve">DATI ANCORANTE</t>
  </si>
  <si>
    <t xml:space="preserve">Barra filettata</t>
  </si>
  <si>
    <t xml:space="preserve">M16</t>
  </si>
  <si>
    <t xml:space="preserve">Diametro nominale. Il diametro deve essere coperto dall'ETA dell'ancorante chimico.</t>
  </si>
  <si>
    <t xml:space="preserve">Classe acciaio barra</t>
  </si>
  <si>
    <t xml:space="preserve">8.8</t>
  </si>
  <si>
    <t xml:space="preserve">5.8 / 8.8 (zincate) o A4-70 inox. Classi con allungamento A &gt;= 8% (duttili, k7 = 1).</t>
  </si>
  <si>
    <t xml:space="preserve">Profondita' di ancoraggio effettiva</t>
  </si>
  <si>
    <t xml:space="preserve">hef</t>
  </si>
  <si>
    <t xml:space="preserve">Da progetto, entro il campo ammesso dall'ETA (tipicamente 8d - 20d).</t>
  </si>
  <si>
    <t xml:space="preserve">Tensione di aderenza caratteristica (cls fessurato)</t>
  </si>
  <si>
    <t xml:space="preserve">tauRk</t>
  </si>
  <si>
    <t xml:space="preserve">DA ETA del prodotto: tau_Rk,cr per il diametro, la classe del cls (gia' moltiplicata per psi_c) e il campo di temperatura. Valore di esempio: SOSTITUIRE.</t>
  </si>
  <si>
    <t xml:space="preserve">Fattore carichi permanenti</t>
  </si>
  <si>
    <t xml:space="preserve">psi_sus</t>
  </si>
  <si>
    <t xml:space="preserve">EN 1992-4 7.2.1.6: 1,0 se alfa_sus &lt;= psi0_sus (da ETA); altrimenti psi_sus = psi0_sus + 1 - alfa_sus.</t>
  </si>
  <si>
    <t xml:space="preserve">gamma inst (trazione)</t>
  </si>
  <si>
    <t xml:space="preserve">g,inst</t>
  </si>
  <si>
    <t xml:space="preserve">Da ETA (1,0 / 1,2 / 1,4). gamma_Mc = gamma_Mp = 1,5 gamma_inst a trazione; a taglio gamma_inst = 1,0.</t>
  </si>
  <si>
    <t xml:space="preserve">Fattore pry-out</t>
  </si>
  <si>
    <t xml:space="preserve">k8</t>
  </si>
  <si>
    <t xml:space="preserve">Da ETA (di norma 2,0).</t>
  </si>
  <si>
    <t xml:space="preserve">Stato del calcestruzzo</t>
  </si>
  <si>
    <t xml:space="preserve">FESSURATO</t>
  </si>
  <si>
    <t xml:space="preserve">FESSURATO a favore di sicurezza (zone tese/intradosso). NON FESSURATO solo se dimostrato (EN 1992-4 4.6).</t>
  </si>
  <si>
    <t xml:space="preserve">Fattore armatura di bordo (taglio)</t>
  </si>
  <si>
    <t xml:space="preserve">psi_re,V</t>
  </si>
  <si>
    <t xml:space="preserve">STANDARD</t>
  </si>
  <si>
    <t xml:space="preserve">EN 1992-4 7.2.2.5: STANDARD = 1,0; 1,4 se c'e' armatura di bordo phi&gt;=12 con staffe a passo &lt;= 100 mm.</t>
  </si>
  <si>
    <t xml:space="preserve">Armatura fitta nella zona di ancoraggio (shell spalling)?</t>
  </si>
  <si>
    <t xml:space="preserve">EN 1992-4 7.2.1.4(5): SI -&gt; psi_re,N = 0,5 + hef/200 &lt;= 1 (zone con staffe ravvicinate). NO -&gt; 1,0.</t>
  </si>
  <si>
    <t xml:space="preserve">Distanza minima dal bordo (ETA)</t>
  </si>
  <si>
    <t xml:space="preserve">cmin</t>
  </si>
  <si>
    <t xml:space="preserve">Da ETA del prodotto per il diametro scelto.</t>
  </si>
  <si>
    <t xml:space="preserve">Interasse minimo (ETA)</t>
  </si>
  <si>
    <t xml:space="preserve">smin</t>
  </si>
  <si>
    <t xml:space="preserve">Diametro foro nel piatto/ala in acciaio</t>
  </si>
  <si>
    <t xml:space="preserve">d0</t>
  </si>
  <si>
    <t xml:space="preserve">Foro di passaggio nell'acciaio (es. d + 2). I fori vanno riempiti (resina/rondella di riempimento) per far collaborare tutti gli ancoranti a taglio.</t>
  </si>
  <si>
    <t xml:space="preserve">Coefficiente vincolo per braccio di leva</t>
  </si>
  <si>
    <t xml:space="preserve">alfaM</t>
  </si>
  <si>
    <t xml:space="preserve">EN 1992-4 6.2.2.3: 1,0 rotazione libera (a favore di sicurezza); 2,0 piatto impedito di ruotare.</t>
  </si>
  <si>
    <t xml:space="preserve">DISPOSIZIONE</t>
  </si>
  <si>
    <t xml:space="preserve">Barre per sezione trasversale (file)</t>
  </si>
  <si>
    <t xml:space="preserve">2 (consigliato): una barra per lato dell'anima. 1: barre sfalsate alternativamente ai due lati (indicare in et lo sfalsamento).</t>
  </si>
  <si>
    <t xml:space="preserve">Interasse trasversale tra le file</t>
  </si>
  <si>
    <t xml:space="preserve">Distanza tra le due barre di una sezione. Deve lasciare spazio a anima + raccordi + dado: et &gt;= tw + 2r + 2d (controllo sotto).</t>
  </si>
  <si>
    <t xml:space="preserve">Passo longitudinale</t>
  </si>
  <si>
    <t xml:space="preserve">Passo costante delle sezioni di ancoraggio lungo la trave. Vedere 'passo massimo ammissibile' nei risultati.</t>
  </si>
  <si>
    <t xml:space="preserve">Trazione di progetto / taglio di progetto</t>
  </si>
  <si>
    <t xml:space="preserve">Trazione associata per contrastare il distacco (uplift) del profilo: EC4 6.6.1.1(7) e dispensa par. 7 (1/10 del taglio). Aumentare se presenti carichi appesi al profilo.</t>
  </si>
  <si>
    <t xml:space="preserve">GEOMETRIA DERIVATA</t>
  </si>
  <si>
    <t xml:space="preserve">Distanza dal bordo laterale della trave</t>
  </si>
  <si>
    <t xml:space="preserve">c1</t>
  </si>
  <si>
    <t xml:space="preserve">Formula: (bw - (nr-1) et)/2 (con nr = 1 le barre sfalsate hanno c1 = (bw - et)/2: inserire et).</t>
  </si>
  <si>
    <t xml:space="preserve">Distanza foro - bordo ala profilo</t>
  </si>
  <si>
    <t xml:space="preserve">e2</t>
  </si>
  <si>
    <t xml:space="preserve">Formula: (b,sup - et)/2</t>
  </si>
  <si>
    <t xml:space="preserve">Ancoranti tra appoggio e mezzeria</t>
  </si>
  <si>
    <t xml:space="preserve">AZIONI SUL SINGOLO ANCORANTE</t>
  </si>
  <si>
    <t xml:space="preserve">Forza di scorrimento elastica (mezzeria)</t>
  </si>
  <si>
    <t xml:space="preserve">Da foglio 04: MEd,comp S / Jid (carichi applicati alla composta, vedi 02B 'Carichi che gravano sulla sezione composta').</t>
  </si>
  <si>
    <t xml:space="preserve">Forza di scorrimento di progetto</t>
  </si>
  <si>
    <t xml:space="preserve">F</t>
  </si>
  <si>
    <t xml:space="preserve">PLASTICA: Ncf; ELASTICA: Fel</t>
  </si>
  <si>
    <t xml:space="preserve">ELASTICA: da foglio 04 (carichi sulla composta). PLASTICA: VEd totale S/Jid (n0), coerente con la verifica a Mpl.</t>
  </si>
  <si>
    <t xml:space="preserve">Taglio per ancorante da forza globale</t>
  </si>
  <si>
    <t xml:space="preserve">VEd,1</t>
  </si>
  <si>
    <t xml:space="preserve">Formula: F / n</t>
  </si>
  <si>
    <t xml:space="preserve">Taglio per ancorante da flusso locale all'appoggio</t>
  </si>
  <si>
    <t xml:space="preserve">VEd,2</t>
  </si>
  <si>
    <t xml:space="preserve">Formula: vEd s / nr (distribuzione elastica: ancoranti non duttili)</t>
  </si>
  <si>
    <t xml:space="preserve">TAGLIO DI PROGETTO PER ANCORANTE</t>
  </si>
  <si>
    <t xml:space="preserve">TRAZIONE DI PROGETTO PER ANCORANTE</t>
  </si>
  <si>
    <t xml:space="preserve">NEd</t>
  </si>
  <si>
    <t xml:space="preserve">Formula: kN x VEd</t>
  </si>
  <si>
    <t xml:space="preserve">RESISTENZE ACCIAIO DELLA BARRA (EN 1992-4 7.2.1.3, 7.2.2.3)</t>
  </si>
  <si>
    <t xml:space="preserve">Diametro barra</t>
  </si>
  <si>
    <t xml:space="preserve">Area resistente</t>
  </si>
  <si>
    <t xml:space="preserve">As</t>
  </si>
  <si>
    <t xml:space="preserve">fuk barra</t>
  </si>
  <si>
    <t xml:space="preserve">fuk</t>
  </si>
  <si>
    <t xml:space="preserve">fyk barra</t>
  </si>
  <si>
    <t xml:space="preserve">gamma Ms,N</t>
  </si>
  <si>
    <t xml:space="preserve">Formula: 1,2 fuk/fyk &gt;= 1,4</t>
  </si>
  <si>
    <t xml:space="preserve">gamma Ms,V</t>
  </si>
  <si>
    <t xml:space="preserve">Formula: fuk/fyk &gt;= 1,25 (fuk&lt;=800 e fyk/fuk&lt;=0,8), altrimenti 1,5</t>
  </si>
  <si>
    <t xml:space="preserve">Resistenza a trazione acciaio</t>
  </si>
  <si>
    <t xml:space="preserve">NRd,s</t>
  </si>
  <si>
    <t xml:space="preserve">Formula: As fuk / gMs,N</t>
  </si>
  <si>
    <t xml:space="preserve">Braccio di leva presente? (1=si)</t>
  </si>
  <si>
    <t xml:space="preserve">Si' se spessore malta &gt; d/2 oppure malta &lt; 30 MPa.</t>
  </si>
  <si>
    <t xml:space="preserve">Resistenza a taglio senza braccio di leva</t>
  </si>
  <si>
    <t xml:space="preserve">VRk,s</t>
  </si>
  <si>
    <t xml:space="preserve">Formula: k6 As fuk; k6 = 0,6 (fuk&lt;=500) / 0,5 (500&lt;fuk&lt;=1000); k7 = 1 (acciaio duttile)</t>
  </si>
  <si>
    <t xml:space="preserve">Momento caratteristico ridotto</t>
  </si>
  <si>
    <t xml:space="preserve">MRk,s</t>
  </si>
  <si>
    <t xml:space="preserve">kNmm</t>
  </si>
  <si>
    <t xml:space="preserve">Formula: 1,2 Wel fuk (1 - NEd/NRd,s), Wel con diametro equivalente all'area resistente</t>
  </si>
  <si>
    <t xml:space="preserve">Resistenza a taglio con braccio di leva</t>
  </si>
  <si>
    <t xml:space="preserve">VRk,s,M</t>
  </si>
  <si>
    <t xml:space="preserve">Formula: alfaM MRk,s / l ; l = 0,5 d + tg</t>
  </si>
  <si>
    <t xml:space="preserve">Resistenza a taglio acciaio di progetto</t>
  </si>
  <si>
    <t xml:space="preserve">VRd,s</t>
  </si>
  <si>
    <t xml:space="preserve">k1 rifollamento</t>
  </si>
  <si>
    <t xml:space="preserve">k1</t>
  </si>
  <si>
    <t xml:space="preserve">EN 1993-1-8 Tab. 3.4: min(2,8 e2/d0 - 1,7 ; 2,5)</t>
  </si>
  <si>
    <t xml:space="preserve">alfa b rifollamento</t>
  </si>
  <si>
    <t xml:space="preserve">ab</t>
  </si>
  <si>
    <t xml:space="preserve">Formula: min(p1/3d0 - 1/4 ; fub/fu ; 1)</t>
  </si>
  <si>
    <t xml:space="preserve">Rifollamento ala superiore del profilo</t>
  </si>
  <si>
    <t xml:space="preserve">Fb,Rd</t>
  </si>
  <si>
    <t xml:space="preserve">Formula: k1 ab fu d tf / gM2</t>
  </si>
  <si>
    <t xml:space="preserve">RESISTENZE CALCESTRUZZO (EN 1992-4 7.2.1.4, 7.2.1.6, 7.2.2.4, 7.2.2.5)</t>
  </si>
  <si>
    <t xml:space="preserve">k1 cono (fessurato/non fess.)</t>
  </si>
  <si>
    <t xml:space="preserve">EN 1992-4 7.2.1.4: 7,7 fessurato; 11,0 non fessurato.</t>
  </si>
  <si>
    <t xml:space="preserve">k9 rottura bordo</t>
  </si>
  <si>
    <t xml:space="preserve">k9</t>
  </si>
  <si>
    <t xml:space="preserve">EN 1992-4 7.2.2.5: 1,7 fessurato; 2,4 non fessurato.</t>
  </si>
  <si>
    <t xml:space="preserve">gamma Mc = gamma Mp (trazione)</t>
  </si>
  <si>
    <t xml:space="preserve">Formula: gc x gamma_inst</t>
  </si>
  <si>
    <t xml:space="preserve">psi re,N</t>
  </si>
  <si>
    <t xml:space="preserve">Resistenza cono singolo ancorante isolato</t>
  </si>
  <si>
    <t xml:space="preserve">N0Rk,c</t>
  </si>
  <si>
    <t xml:space="preserve">Formula: k1 sqrt(fck) hef^1,5</t>
  </si>
  <si>
    <t xml:space="preserve">Interasse critico cono</t>
  </si>
  <si>
    <t xml:space="preserve">scr,N</t>
  </si>
  <si>
    <t xml:space="preserve">Formula: 3 hef ; ccr,N = 1,5 hef</t>
  </si>
  <si>
    <t xml:space="preserve">Resistenza aderenza singolo ancorante isolato</t>
  </si>
  <si>
    <t xml:space="preserve">N0Rk,p</t>
  </si>
  <si>
    <t xml:space="preserve">Formula: psi_sus tauRk pi d hef</t>
  </si>
  <si>
    <t xml:space="preserve">Interasse critico aderenza</t>
  </si>
  <si>
    <t xml:space="preserve">scr,Np</t>
  </si>
  <si>
    <t xml:space="preserve">Formula: 7,3 d sqrt(psi_sus tauRk) &lt;= 3 hef ; ccr,Np = scr,Np/2</t>
  </si>
  <si>
    <t xml:space="preserve">Rapporto aree cono per ancorante</t>
  </si>
  <si>
    <t xml:space="preserve">Ac,N/A0c,N</t>
  </si>
  <si>
    <t xml:space="preserve">Area proiettata di competenza del singolo ancorante: min(s;scr) x [min(c1;ccr) + min(et/2;ccr)] / scr^2</t>
  </si>
  <si>
    <t xml:space="preserve">psi s,N</t>
  </si>
  <si>
    <t xml:space="preserve">Formula: 0,7 + 0,3 c/ccr,N &lt;= 1</t>
  </si>
  <si>
    <t xml:space="preserve">Resistenza cono caratteristica</t>
  </si>
  <si>
    <t xml:space="preserve">NRk,c</t>
  </si>
  <si>
    <t xml:space="preserve">Resistenza cono di progetto</t>
  </si>
  <si>
    <t xml:space="preserve">NRd,c</t>
  </si>
  <si>
    <t xml:space="preserve">Rapporto aree aderenza per ancorante</t>
  </si>
  <si>
    <t xml:space="preserve">Ap,N/A0p,N</t>
  </si>
  <si>
    <t xml:space="preserve">psi s,Np</t>
  </si>
  <si>
    <t xml:space="preserve">Resistenza aderenza/sfilamento caratteristica</t>
  </si>
  <si>
    <t xml:space="preserve">NRk,p</t>
  </si>
  <si>
    <t xml:space="preserve">psi_g,Np = 1 (a favore di sicurezza)</t>
  </si>
  <si>
    <t xml:space="preserve">Resistenza aderenza di progetto</t>
  </si>
  <si>
    <t xml:space="preserve">NRd,p</t>
  </si>
  <si>
    <t xml:space="preserve">Lunghezza efficace a taglio</t>
  </si>
  <si>
    <t xml:space="preserve">lf</t>
  </si>
  <si>
    <t xml:space="preserve">Resistenza bordo di base</t>
  </si>
  <si>
    <t xml:space="preserve">V0Rk,c</t>
  </si>
  <si>
    <t xml:space="preserve">Formula: k9 d^a lf^b sqrt(fck) c1^1,5 ; a = 0,1 (lf/c1)^0,5 ; b = 0,1 (d/c1)^0,2</t>
  </si>
  <si>
    <t xml:space="preserve">Rapporto aree bordo per ancorante</t>
  </si>
  <si>
    <t xml:space="preserve">Ac,V/A0c,V</t>
  </si>
  <si>
    <t xml:space="preserve">Formula: min(s;3c1) x min(1,5c1;H) / 4,5 c1^2</t>
  </si>
  <si>
    <t xml:space="preserve">psi h,V</t>
  </si>
  <si>
    <t xml:space="preserve">Resistenza bordo di progetto (taglio parallelo al bordo)</t>
  </si>
  <si>
    <t xml:space="preserve">VRd,c</t>
  </si>
  <si>
    <t xml:space="preserve">psi_alfa,V = 2 (taglio parallelo al bordo laterale: sqrt(1/(cos^2 90 + (0,5 sin 90)^2))); psi_s,V = 1; gMc = 1,5</t>
  </si>
  <si>
    <t xml:space="preserve">Resistenza pry-out di progetto</t>
  </si>
  <si>
    <t xml:space="preserve">VRd,cp</t>
  </si>
  <si>
    <t xml:space="preserve">Formula: k8 min(NRk,c ; NRk,p) / 1,5</t>
  </si>
  <si>
    <t xml:space="preserve">RISULTATI E VERIFICHE PER ANCORANTE</t>
  </si>
  <si>
    <t xml:space="preserve">RESISTENZA A TAGLIO DELL'ANCORANTE</t>
  </si>
  <si>
    <t xml:space="preserve">VRd</t>
  </si>
  <si>
    <t xml:space="preserve">Minimo tra acciaio, rifollamento ala, bordo, pry-out.</t>
  </si>
  <si>
    <t xml:space="preserve">Meccanismo governante a taglio</t>
  </si>
  <si>
    <t xml:space="preserve">RESISTENZA A TRAZIONE DELL'ANCORANTE</t>
  </si>
  <si>
    <t xml:space="preserve">NRd</t>
  </si>
  <si>
    <t xml:space="preserve">Grado di connessione (forza plastica)</t>
  </si>
  <si>
    <t xml:space="preserve">Formula: n VRd / Ncf (con criterio PLASTICA deve essere &gt;= 1).</t>
  </si>
  <si>
    <t xml:space="preserve">Passo massimo ammissibile</t>
  </si>
  <si>
    <t xml:space="preserve">s,max</t>
  </si>
  <si>
    <t xml:space="preserve">Formula: nr VRd / max(vEd ; F/(L/2)) : passo da non superare.</t>
  </si>
  <si>
    <t xml:space="preserve">Rapporto taglio VEd/VRd</t>
  </si>
  <si>
    <t xml:space="preserve">Esito taglio ancorante</t>
  </si>
  <si>
    <t xml:space="preserve">Rapporto trazione NEd/NRd</t>
  </si>
  <si>
    <t xml:space="preserve">Esito trazione ancorante</t>
  </si>
  <si>
    <t xml:space="preserve">Interazione acciaio (N/NRd,s)^2+(V/VRd,s)^2</t>
  </si>
  <si>
    <t xml:space="preserve">EN 1992-4 Tab. 7.3 eq. 7.54</t>
  </si>
  <si>
    <t xml:space="preserve">Esito interazione acciaio</t>
  </si>
  <si>
    <t xml:space="preserve">Interazione cls bN^1,5+bV^1,5</t>
  </si>
  <si>
    <t xml:space="preserve">EN 1992-4 Tab. 7.3 eq. 7.55 (rapporti massimi tra i modi di rottura del cls)</t>
  </si>
  <si>
    <t xml:space="preserve">Esito interazione calcestruzzo</t>
  </si>
  <si>
    <t xml:space="preserve">Esito grado di connessione (solo PLASTICA)</t>
  </si>
  <si>
    <t xml:space="preserve">CONTROLLI GEOMETRICI</t>
  </si>
  <si>
    <t xml:space="preserve">c1 &gt;= cmin (ETA)</t>
  </si>
  <si>
    <t xml:space="preserve">Distanza dal bordo laterale della trave.</t>
  </si>
  <si>
    <t xml:space="preserve">s &gt;= smin (ETA)</t>
  </si>
  <si>
    <t xml:space="preserve">et &gt;= smin (ETA) se 2 file</t>
  </si>
  <si>
    <t xml:space="preserve">Spazio per dado: et &gt;= tw + 2r + 2d</t>
  </si>
  <si>
    <t xml:space="preserve">Indicativo: verificare con le dimensioni di dado e rondella.</t>
  </si>
  <si>
    <t xml:space="preserve">e2 &gt;= 1,2 d0 (EN 1993-1-8)</t>
  </si>
  <si>
    <t xml:space="preserve">Spessore residuo: H - hef &gt;= max(30 ; 2 d0)</t>
  </si>
  <si>
    <t xml:space="preserve">EN 1992-4 / ETA hmin: verificare il valore esatto di hmin nell'ETA.</t>
  </si>
  <si>
    <t xml:space="preserve">Passo s &lt;= s,max</t>
  </si>
  <si>
    <t xml:space="preserve">Ala classe 1: s &lt;= 22 tf eps</t>
  </si>
  <si>
    <t xml:space="preserve">EC4 6.6.5.5(2)</t>
  </si>
  <si>
    <t xml:space="preserve">NOTE: (1) i fori nell'ala vanno riempiti (rondella di riempimento + resina) altrimenti solo una parte degli ancoranti lavora a taglio; (2) serraggio con chiave dinamometrica alla coppia ETA; (3) rilevare staffe e armature prima di forare; (4) se il meccanismo governante e' la rottura del bordo, aumentare c1 (ridurre et), il passo, hef, oppure prevedere ancoranti piu' piccoli e numerosi.</t>
  </si>
  <si>
    <t xml:space="preserve">06 - SCENARIO 2: ATTACCO DEL PROFILO AL PILASTRO ESISTENTE CON PIASTRA E ANCORANTI CHIMICI</t>
  </si>
  <si>
    <t xml:space="preserve">Compilare solo se SCENARIO = 2. Piastra verticale fissata sulla faccia del pilastro con nx x ny ancoranti; il profilo trasmette la reazione d'appoggio VEd con eccentricita' e rispetto alla faccia del pilastro. Trazione nella fila superiore = N/n + M/(z nx). Verifica di gruppo per cono/aderenza (fila tesa), bordo (fila verticale vicina al bordo, taglio parallelo), pry-out (gruppo).</t>
  </si>
  <si>
    <t xml:space="preserve">AZIONI</t>
  </si>
  <si>
    <t xml:space="preserve">Quota del taglio d'appoggio portata dal profilo</t>
  </si>
  <si>
    <t xml:space="preserve">1,0 = tutto il taglio di progetto passa dal profilo al pilastro (a favore di sicurezza). Ridurre solo se giustificato.</t>
  </si>
  <si>
    <t xml:space="preserve">Taglio di progetto sul nodo</t>
  </si>
  <si>
    <t xml:space="preserve">ELASTICA: taglio dei carichi applicati alla composta (VEd,comp, foglio 01). PLASTICA: VEd totale.</t>
  </si>
  <si>
    <t xml:space="preserve">Eccentricita' della reazione dalla faccia del pilastro</t>
  </si>
  <si>
    <t xml:space="preserve">e</t>
  </si>
  <si>
    <t xml:space="preserve">Distanza tra la faccia del pilastro e la linea di trasmissione del taglio (asse bulloni del fazzoletto / centro appoggio su mensola + spessore piastra).</t>
  </si>
  <si>
    <t xml:space="preserve">Sforzo normale (trazione +)</t>
  </si>
  <si>
    <t xml:space="preserve">Eventuale tiro/catena trasmesso al pilastro. 0 se assente.</t>
  </si>
  <si>
    <t xml:space="preserve">Momento sulla piastra</t>
  </si>
  <si>
    <t xml:space="preserve">Formula: VEd e</t>
  </si>
  <si>
    <t xml:space="preserve">GEOMETRIA PILASTRO E PIASTRA</t>
  </si>
  <si>
    <t xml:space="preserve">Larghezza faccia del pilastro (dove si fissa la piastra)</t>
  </si>
  <si>
    <t xml:space="preserve">bc</t>
  </si>
  <si>
    <t xml:space="preserve">Dimensione orizzontale della faccia del pilastro.</t>
  </si>
  <si>
    <t xml:space="preserve">Profondita' del pilastro (direzione ancoranti)</t>
  </si>
  <si>
    <t xml:space="preserve">Dc</t>
  </si>
  <si>
    <t xml:space="preserve">Dimensione nella direzione dell'asse degli ancoranti.</t>
  </si>
  <si>
    <t xml:space="preserve">Distanza fila superiore - bordo superiore cls</t>
  </si>
  <si>
    <t xml:space="preserve">c,top</t>
  </si>
  <si>
    <t xml:space="preserve">Distanza verso l'alto dal bordo libero piu' vicino (es. fine pilastro). Se il pilastro prosegue, inserire un valore grande (&gt;= 1,5 hef).</t>
  </si>
  <si>
    <t xml:space="preserve">Larghezza piastra</t>
  </si>
  <si>
    <t xml:space="preserve">bp</t>
  </si>
  <si>
    <t xml:space="preserve">Altezza piastra</t>
  </si>
  <si>
    <t xml:space="preserve">Spessore piastra</t>
  </si>
  <si>
    <t xml:space="preserve">tp</t>
  </si>
  <si>
    <t xml:space="preserve">Usato per il rifollamento. La flessione della piastra va verificata a parte (EN 1993-1-8, T-stub).</t>
  </si>
  <si>
    <t xml:space="preserve">Acciaio piastra</t>
  </si>
  <si>
    <t xml:space="preserve">ftk piastra</t>
  </si>
  <si>
    <t xml:space="preserve">Distanza foro - bordo piastra</t>
  </si>
  <si>
    <t xml:space="preserve">e1=e2</t>
  </si>
  <si>
    <t xml:space="preserve">&gt;= 1,2 d0 (EN 1993-1-8 Tab. 3.3).</t>
  </si>
  <si>
    <t xml:space="preserve">Spessore malta tra piastra e pilastro</t>
  </si>
  <si>
    <t xml:space="preserve">Strato di regolarizzazione (malta espansiva/resina). Se &gt; d/2 o malta &lt; 30 MPa -&gt; braccio di leva.</t>
  </si>
  <si>
    <t xml:space="preserve">Malta con fc &gt;= 30 MPa?</t>
  </si>
  <si>
    <t xml:space="preserve">DATI ANCORANTI</t>
  </si>
  <si>
    <t xml:space="preserve">Ancoranti per fila orizzontale</t>
  </si>
  <si>
    <t xml:space="preserve">nx</t>
  </si>
  <si>
    <t xml:space="preserve">Numero di colonne di ancoranti.</t>
  </si>
  <si>
    <t xml:space="preserve">Numero di file orizzontali</t>
  </si>
  <si>
    <t xml:space="preserve">ny</t>
  </si>
  <si>
    <t xml:space="preserve">Numero di righe di ancoranti.</t>
  </si>
  <si>
    <t xml:space="preserve">Interasse orizzontale</t>
  </si>
  <si>
    <t xml:space="preserve">sx</t>
  </si>
  <si>
    <t xml:space="preserve">Interasse verticale</t>
  </si>
  <si>
    <t xml:space="preserve">sy</t>
  </si>
  <si>
    <t xml:space="preserve">Braccio interno z manuale (0 = automatico)</t>
  </si>
  <si>
    <t xml:space="preserve">z</t>
  </si>
  <si>
    <t xml:space="preserve">Automatico (a favore di sicurezza): ny&gt;=2 -&gt; z = distanza fila superiore - fila inferiore (compressione assunta sulla fila inferiore); ny=1 -&gt; z = 0,9 x distanza fila-bordo inferiore piastra.</t>
  </si>
  <si>
    <t xml:space="preserve">GEOMETRIA DERIVATA E AZIONI SUGLI ANCORANTI</t>
  </si>
  <si>
    <t xml:space="preserve">Distanza dal bordo laterale del pilastro</t>
  </si>
  <si>
    <t xml:space="preserve">cx</t>
  </si>
  <si>
    <t xml:space="preserve">Piastra centrata sulla faccia: (bc - (nx-1) sx)/2</t>
  </si>
  <si>
    <t xml:space="preserve">Distanza fila superiore - bordo inferiore piastra</t>
  </si>
  <si>
    <t xml:space="preserve">Braccio interno</t>
  </si>
  <si>
    <t xml:space="preserve">Numero totale ancoranti</t>
  </si>
  <si>
    <t xml:space="preserve">TRAZIONE ancorante piu' sollecitato (fila sup.)</t>
  </si>
  <si>
    <t xml:space="preserve">Formula: N/n + M/(z nx)</t>
  </si>
  <si>
    <t xml:space="preserve">TAGLIO per ancorante</t>
  </si>
  <si>
    <t xml:space="preserve">Formula: VEd / n (fori riempiti)</t>
  </si>
  <si>
    <t xml:space="preserve">Trazione sulla fila superiore</t>
  </si>
  <si>
    <t xml:space="preserve">Nrow</t>
  </si>
  <si>
    <t xml:space="preserve">k1 rifollamento piastra</t>
  </si>
  <si>
    <t xml:space="preserve">alfa b rifollamento piastra</t>
  </si>
  <si>
    <t xml:space="preserve">Foro di estremita' nella direzione del carico (e1).</t>
  </si>
  <si>
    <t xml:space="preserve">Rifollamento piastra</t>
  </si>
  <si>
    <t xml:space="preserve">RESISTENZE CALCESTRUZZO (gruppo)</t>
  </si>
  <si>
    <t xml:space="preserve">Area cono fila tesa / A0</t>
  </si>
  <si>
    <t xml:space="preserve">Ac,N/A0</t>
  </si>
  <si>
    <t xml:space="preserve">Fila superiore di nx ancoranti: [2 min(cx;ccr) + (nx-1) min(sx;scr)] x [min(ctop;ccr) + ccr] / scr^2</t>
  </si>
  <si>
    <t xml:space="preserve">Cono fila tesa caratteristico</t>
  </si>
  <si>
    <t xml:space="preserve">Cono fila tesa di progetto</t>
  </si>
  <si>
    <t xml:space="preserve">Area aderenza fila tesa / A0</t>
  </si>
  <si>
    <t xml:space="preserve">Ap,N/A0</t>
  </si>
  <si>
    <t xml:space="preserve">Aderenza fila tesa caratteristica</t>
  </si>
  <si>
    <t xml:space="preserve">Aderenza fila tesa di progetto</t>
  </si>
  <si>
    <t xml:space="preserve">Area cono intero gruppo / A0 (per pry-out)</t>
  </si>
  <si>
    <t xml:space="preserve">Area aderenza intero gruppo / A0 (per pry-out)</t>
  </si>
  <si>
    <t xml:space="preserve">Pry-out gruppo di progetto</t>
  </si>
  <si>
    <t xml:space="preserve">Formula: k8 min(NRk,c ; NRk,p)gruppo / 1,5</t>
  </si>
  <si>
    <t xml:space="preserve">c1 = cx</t>
  </si>
  <si>
    <t xml:space="preserve">Area bordo colonna di ancoranti / A0</t>
  </si>
  <si>
    <t xml:space="preserve">Colonna verticale di ny ancoranti vicina al bordo laterale.</t>
  </si>
  <si>
    <t xml:space="preserve">psi s,V</t>
  </si>
  <si>
    <t xml:space="preserve">Rottura bordo colonna di ancoranti (taglio verticale parallelo al bordo)</t>
  </si>
  <si>
    <t xml:space="preserve">psi_alfa,V = 2</t>
  </si>
  <si>
    <t xml:space="preserve">Taglio sulla colonna di ancoranti vicina al bordo</t>
  </si>
  <si>
    <t xml:space="preserve">VERIFICHE NODO</t>
  </si>
  <si>
    <t xml:space="preserve">Trazione acciaio NEd/NRd,s</t>
  </si>
  <si>
    <t xml:space="preserve">Cono cls fila tesa Nrow/NRd,c</t>
  </si>
  <si>
    <t xml:space="preserve">Aderenza fila tesa Nrow/NRd,p</t>
  </si>
  <si>
    <t xml:space="preserve">Taglio acciaio VEd/VRd,s</t>
  </si>
  <si>
    <t xml:space="preserve">Rifollamento piastra VEd/Fb,Rd</t>
  </si>
  <si>
    <t xml:space="preserve">Rottura bordo Vline/VRd,c</t>
  </si>
  <si>
    <t xml:space="preserve">Pry-out VEd/VRd,cp</t>
  </si>
  <si>
    <t xml:space="preserve">Interazione acciaio</t>
  </si>
  <si>
    <t xml:space="preserve">(N/NRd,s)^2 + (V/VRd,s)^2 &lt;= 1</t>
  </si>
  <si>
    <t xml:space="preserve">Interazione cls</t>
  </si>
  <si>
    <t xml:space="preserve">bN^1,5 + bV^1,5 &lt;= 1</t>
  </si>
  <si>
    <t xml:space="preserve">RAPPORTO MASSIMO NODO</t>
  </si>
  <si>
    <t xml:space="preserve">ESITO NODO PILASTRO</t>
  </si>
  <si>
    <t xml:space="preserve">cx &gt;= cmin (ETA)</t>
  </si>
  <si>
    <t xml:space="preserve">sx, sy &gt;= smin (ETA)</t>
  </si>
  <si>
    <t xml:space="preserve">Piastra entro la faccia del pilastro</t>
  </si>
  <si>
    <t xml:space="preserve">Ancoranti entro la piastra con e &gt;= 1,2 d0</t>
  </si>
  <si>
    <t xml:space="preserve">Spessore residuo pilastro Dc - hef &gt;= max(30 ; 2 d0)</t>
  </si>
  <si>
    <t xml:space="preserve">Verificare hmin dell'ETA.</t>
  </si>
  <si>
    <t xml:space="preserve">NON INCLUSO: verifica della piastra a flessione (T-stub), delle saldature profilo-piastra o del collegamento bullonato fazzoletto/mensola (EN 1993-1-8), verifica locale del pilastro esistente e del nodo per la nuova azione concentrata.</t>
  </si>
  <si>
    <t xml:space="preserve">07 - RIEPILOGO VERIFICHE</t>
  </si>
  <si>
    <t xml:space="preserve">Verifica</t>
  </si>
  <si>
    <t xml:space="preserve">Riferimento</t>
  </si>
  <si>
    <t xml:space="preserve">Domanda</t>
  </si>
  <si>
    <t xml:space="preserve">Capacita'</t>
  </si>
  <si>
    <t xml:space="preserve">Rapporto</t>
  </si>
  <si>
    <t xml:space="preserve">Esito</t>
  </si>
  <si>
    <t xml:space="preserve">TRAVE COMPOSTA</t>
  </si>
  <si>
    <t xml:space="preserve">Flessione SLU (plastica, con grado di connessione)</t>
  </si>
  <si>
    <t xml:space="preserve">EC4 6.2.1 / NTC 4.3.4</t>
  </si>
  <si>
    <t xml:space="preserve">Grado di connessione minimo (sc.1)</t>
  </si>
  <si>
    <t xml:space="preserve">EC4 6.6.1.2</t>
  </si>
  <si>
    <t xml:space="preserve">Classe sezione per calcolo plastico</t>
  </si>
  <si>
    <t xml:space="preserve">EN 1993-1-1 Tab. 5.2</t>
  </si>
  <si>
    <t xml:space="preserve">Taglio SLU (anima profilo)</t>
  </si>
  <si>
    <t xml:space="preserve">EC4 6.2.2.2 / NTC 4.2.4.1.2.4</t>
  </si>
  <si>
    <t xml:space="preserve">Tensione acciaio (metodo n) - vincolante sc.2 ELASTICA</t>
  </si>
  <si>
    <t xml:space="preserve">metodo n per fasi</t>
  </si>
  <si>
    <t xml:space="preserve">Tensione calcestruzzo (metodo n) - vincolante sc.2 ELASTICA</t>
  </si>
  <si>
    <t xml:space="preserve">Freccia totale SLE</t>
  </si>
  <si>
    <t xml:space="preserve">NTC Tab. 4.2.XII</t>
  </si>
  <si>
    <t xml:space="preserve">Freccia variabili SLE</t>
  </si>
  <si>
    <t xml:space="preserve">FASE DI GETTO (sc.1 non puntellata)</t>
  </si>
  <si>
    <t xml:space="preserve">Flessione sola trave acciaio</t>
  </si>
  <si>
    <t xml:space="preserve">NTC 4.2.4.1.2</t>
  </si>
  <si>
    <t xml:space="preserve">Taglio sola trave acciaio</t>
  </si>
  <si>
    <t xml:space="preserve">NTC 4.2.4.1.2.4</t>
  </si>
  <si>
    <t xml:space="preserve">Stabilita' flesso-torsionale</t>
  </si>
  <si>
    <t xml:space="preserve">EN 1993-1-1 6.3.2</t>
  </si>
  <si>
    <t xml:space="preserve">PIOLI (sc.1)</t>
  </si>
  <si>
    <t xml:space="preserve">Numero pioli / grado connessione (n disposti vs nf)</t>
  </si>
  <si>
    <t xml:space="preserve">EC4 6.6.1</t>
  </si>
  <si>
    <t xml:space="preserve">Armatura trasversale soletta</t>
  </si>
  <si>
    <t xml:space="preserve">EC4 6.6.6</t>
  </si>
  <si>
    <t xml:space="preserve">Bielle compresse soletta</t>
  </si>
  <si>
    <t xml:space="preserve">EC2 6.2.4</t>
  </si>
  <si>
    <t xml:space="preserve">Dettagli: hsc&gt;=3d</t>
  </si>
  <si>
    <t xml:space="preserve">EC4 6.6.5.7</t>
  </si>
  <si>
    <t xml:space="preserve">Dettagli: hsc&gt;=hp+2d</t>
  </si>
  <si>
    <t xml:space="preserve">EC4 6.6.5.8</t>
  </si>
  <si>
    <t xml:space="preserve">Dettagli: d&lt;=20 con saldatura passante</t>
  </si>
  <si>
    <t xml:space="preserve">Dettagli: passo minimo / massimo</t>
  </si>
  <si>
    <t xml:space="preserve">EC4 6.6.5.5 / 6.6.5.7</t>
  </si>
  <si>
    <t xml:space="preserve">INGHISAGGI TRAVE (sc.2)</t>
  </si>
  <si>
    <t xml:space="preserve">Taglio per ancorante</t>
  </si>
  <si>
    <t xml:space="preserve">EN 1992-4</t>
  </si>
  <si>
    <t xml:space="preserve">Trazione per ancorante</t>
  </si>
  <si>
    <t xml:space="preserve">Interazione N-V acciaio</t>
  </si>
  <si>
    <t xml:space="preserve">EN 1992-4 eq. 7.54</t>
  </si>
  <si>
    <t xml:space="preserve">Interazione N-V calcestruzzo</t>
  </si>
  <si>
    <t xml:space="preserve">EN 1992-4 eq. 7.55</t>
  </si>
  <si>
    <t xml:space="preserve">Grado di connessione &gt;= 1 (solo criterio PLASTICA)</t>
  </si>
  <si>
    <t xml:space="preserve">EC4 6.6.1.1</t>
  </si>
  <si>
    <t xml:space="preserve">Passo ancoranti &lt;= s,max</t>
  </si>
  <si>
    <t xml:space="preserve">Distanza dal bordo c1 &gt;= cmin</t>
  </si>
  <si>
    <t xml:space="preserve">ETA</t>
  </si>
  <si>
    <t xml:space="preserve">NODO PILASTRO (sc.2)</t>
  </si>
  <si>
    <t xml:space="preserve">Nodo profilo-pilastro (massimo tra tutte le verifiche)</t>
  </si>
  <si>
    <t xml:space="preserve">EN 1992-4 / EN 1993-1-8</t>
  </si>
  <si>
    <t xml:space="preserve">Distanza dal bordo cx &gt;= cmin</t>
  </si>
  <si>
    <t xml:space="preserve">Geometria ancoranti nella piastra</t>
  </si>
  <si>
    <t xml:space="preserve">EN 1993-1-8</t>
  </si>
  <si>
    <t xml:space="preserve">Esito globale (verifiche pertinenti allo scenario):</t>
  </si>
  <si>
    <t xml:space="preserve">Domanda/Capacita' in kN, kNm, MPa, mm secondo la riga. N.A. = non pertinente allo scenario scelto. ATTENZIONE = controllo da completare manualmente.</t>
  </si>
  <si>
    <t xml:space="preserve">TABELLE DI SUPPORTO (non modificare salvo verifica)</t>
  </si>
  <si>
    <t xml:space="preserve">Classi calcestruzzo</t>
  </si>
  <si>
    <t xml:space="preserve">Acciaio da carpenteria (t&lt;=40mm)</t>
  </si>
  <si>
    <t xml:space="preserve">Barre filettate</t>
  </si>
  <si>
    <t xml:space="preserve">Classi barre/viti</t>
  </si>
  <si>
    <t xml:space="preserve">NTC 2018 Tab. 4.1.I</t>
  </si>
  <si>
    <t xml:space="preserve">NTC 2018 Tab. 11.3.IX</t>
  </si>
  <si>
    <t xml:space="preserve">Area resistente ISO 898-1</t>
  </si>
  <si>
    <t xml:space="preserve">ISO 898-1 / ISO 3506-1</t>
  </si>
  <si>
    <t xml:space="preserve">Classe</t>
  </si>
  <si>
    <t xml:space="preserve">Rck</t>
  </si>
  <si>
    <t xml:space="preserve">Acciaio</t>
  </si>
  <si>
    <t xml:space="preserve">Barra</t>
  </si>
  <si>
    <t xml:space="preserve">d [mm]</t>
  </si>
  <si>
    <t xml:space="preserve">As [mm2]</t>
  </si>
  <si>
    <t xml:space="preserve">C16/20</t>
  </si>
  <si>
    <t xml:space="preserve">S235</t>
  </si>
  <si>
    <t xml:space="preserve">M10</t>
  </si>
  <si>
    <t xml:space="preserve">4.6</t>
  </si>
  <si>
    <t xml:space="preserve">C20/25</t>
  </si>
  <si>
    <t xml:space="preserve">M12</t>
  </si>
  <si>
    <t xml:space="preserve">5.8</t>
  </si>
  <si>
    <t xml:space="preserve">S355</t>
  </si>
  <si>
    <t xml:space="preserve">C28/35</t>
  </si>
  <si>
    <t xml:space="preserve">S420</t>
  </si>
  <si>
    <t xml:space="preserve">M20</t>
  </si>
  <si>
    <t xml:space="preserve">10.9</t>
  </si>
  <si>
    <t xml:space="preserve">C30/37</t>
  </si>
  <si>
    <t xml:space="preserve">S460</t>
  </si>
  <si>
    <t xml:space="preserve">M24</t>
  </si>
  <si>
    <t xml:space="preserve">A4-70</t>
  </si>
  <si>
    <t xml:space="preserve">C32/40</t>
  </si>
  <si>
    <t xml:space="preserve">M27</t>
  </si>
  <si>
    <t xml:space="preserve">A4-80</t>
  </si>
  <si>
    <t xml:space="preserve">C35/45</t>
  </si>
  <si>
    <t xml:space="preserve">M30</t>
  </si>
  <si>
    <t xml:space="preserve">C40/50</t>
  </si>
  <si>
    <t xml:space="preserve">C45/55</t>
  </si>
  <si>
    <t xml:space="preserve">C50/60</t>
  </si>
  <si>
    <t xml:space="preserve">kt,max pioli con lamiera trasversale</t>
  </si>
  <si>
    <t xml:space="preserve">EC4 Tab. 6.2 (d&lt;=20 passante; d=19-22 fori). Valori t&gt;1mm da verificare su testo norma</t>
  </si>
  <si>
    <t xml:space="preserve">Circolare 7/2019 Tab. C8.5.IV</t>
  </si>
  <si>
    <t xml:space="preserve">nr_t</t>
  </si>
  <si>
    <t xml:space="preserve">passante</t>
  </si>
  <si>
    <t xml:space="preserve">fori</t>
  </si>
  <si>
    <t xml:space="preserve">Livello</t>
  </si>
  <si>
    <t xml:space="preserve">1_&lt;=1</t>
  </si>
  <si>
    <t xml:space="preserve">LC1</t>
  </si>
  <si>
    <t xml:space="preserve">1_&gt;1</t>
  </si>
  <si>
    <t xml:space="preserve">2_&lt;=1</t>
  </si>
  <si>
    <t xml:space="preserve">LC3</t>
  </si>
  <si>
    <t xml:space="preserve">2_&gt;1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</si>
</sst>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.0"/>
    <numFmt numFmtId="168" formatCode="0.000"/>
    <numFmt numFmtId="169" formatCode="#,##0.0"/>
    <numFmt numFmtId="170" formatCode="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Helvetica Neue"/>
      <family val="0"/>
      <charset val="1"/>
    </font>
    <font>
      <i val="true"/>
      <sz val="10"/>
      <color rgb="FF1F3864"/>
      <name val="Helvetica Neue"/>
      <family val="0"/>
      <charset val="1"/>
    </font>
    <font>
      <b val="true"/>
      <sz val="12"/>
      <color rgb="FF1F3864"/>
      <name val="Helvetica Neue"/>
      <family val="0"/>
      <charset val="1"/>
    </font>
    <font>
      <sz val="10"/>
      <color rgb="FF000000"/>
      <name val="Helvetica Neue"/>
      <family val="0"/>
      <charset val="1"/>
    </font>
    <font>
      <b val="true"/>
      <sz val="14"/>
      <color rgb="FFFFFFFF"/>
      <name val="Helvetica Neue"/>
      <family val="0"/>
      <charset val="1"/>
    </font>
    <font>
      <i val="true"/>
      <sz val="9"/>
      <color rgb="FF404040"/>
      <name val="Helvetica Neue"/>
      <family val="0"/>
      <charset val="1"/>
    </font>
    <font>
      <sz val="9"/>
      <color rgb="FF7F6000"/>
      <name val="Helvetica Neue"/>
      <family val="0"/>
      <charset val="1"/>
    </font>
    <font>
      <b val="true"/>
      <sz val="11"/>
      <color rgb="FF1F3864"/>
      <name val="Helvetica Neue"/>
      <family val="0"/>
      <charset val="1"/>
    </font>
    <font>
      <b val="true"/>
      <sz val="9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  <font>
      <b val="true"/>
      <sz val="10"/>
      <color rgb="FF0000FF"/>
      <name val="Helvetica Neue"/>
      <family val="0"/>
      <charset val="1"/>
    </font>
    <font>
      <sz val="9"/>
      <color rgb="FF000000"/>
      <name val="Helvetica Neue"/>
      <family val="0"/>
      <charset val="1"/>
    </font>
    <font>
      <sz val="9"/>
      <color rgb="FF404040"/>
      <name val="Helvetica Neue"/>
      <family val="0"/>
      <charset val="1"/>
    </font>
    <font>
      <b val="true"/>
      <sz val="10"/>
      <color rgb="FF000000"/>
      <name val="Helvetica Neue"/>
      <family val="0"/>
      <charset val="1"/>
    </font>
    <font>
      <sz val="10"/>
      <name val="Arial"/>
      <family val="2"/>
    </font>
    <font>
      <b val="true"/>
      <sz val="10"/>
      <color rgb="FF1F3864"/>
      <name val="Helvetica Neue"/>
      <family val="0"/>
      <charset val="1"/>
    </font>
    <font>
      <sz val="9"/>
      <color rgb="FF9C5700"/>
      <name val="Helvetica Neue"/>
      <family val="0"/>
      <charset val="1"/>
    </font>
    <font>
      <b val="true"/>
      <sz val="11"/>
      <color rgb="FF000000"/>
      <name val="Helvetica Neue"/>
      <family val="0"/>
      <charset val="1"/>
    </font>
    <font>
      <i val="true"/>
      <sz val="8"/>
      <color rgb="FF7F7F7F"/>
      <name val="Helvetica Neue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DEBF7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D9E1F2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Helvetica Neue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Helvetica Neue"/>
        <charset val="1"/>
        <family val="0"/>
        <color rgb="FF808080"/>
      </font>
      <fill>
        <patternFill>
          <bgColor rgb="FFEDEDED"/>
        </patternFill>
      </fill>
    </dxf>
    <dxf>
      <font>
        <name val="Helvetica Neue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Helvetica Neue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D9E1F2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EDEDED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C55A11"/>
      <rgbColor rgb="FF7F7F7F"/>
      <rgbColor rgb="FFA6A6A6"/>
      <rgbColor rgb="FF1F3864"/>
      <rgbColor rgb="FF548235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0"/>
  </cols>
  <sheetData>
    <row r="1" customFormat="false" ht="27.75" hidden="false" customHeight="true" outlineLevel="0" collapsed="false">
      <c r="B1" s="1" t="s">
        <v>0</v>
      </c>
    </row>
    <row r="2" customFormat="false" ht="30" hidden="false" customHeight="tru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27.75" hidden="false" customHeight="true" outlineLevel="0" collapsed="false">
      <c r="B5" s="5" t="s">
        <v>3</v>
      </c>
    </row>
    <row r="6" customFormat="false" ht="27.75" hidden="false" customHeight="true" outlineLevel="0" collapsed="false">
      <c r="B6" s="5" t="s">
        <v>4</v>
      </c>
    </row>
    <row r="7" customFormat="false" ht="15" hidden="false" customHeight="true" outlineLevel="0" collapsed="false">
      <c r="B7" s="5" t="s">
        <v>5</v>
      </c>
    </row>
    <row r="8" customFormat="false" ht="27.75" hidden="false" customHeight="true" outlineLevel="0" collapsed="false">
      <c r="B8" s="5" t="s">
        <v>6</v>
      </c>
    </row>
    <row r="9" customFormat="false" ht="27.75" hidden="false" customHeight="true" outlineLevel="0" collapsed="false">
      <c r="B9" s="5" t="s">
        <v>7</v>
      </c>
    </row>
    <row r="10" customFormat="false" ht="27.75" hidden="false" customHeight="true" outlineLevel="0" collapsed="false">
      <c r="B10" s="5" t="s">
        <v>8</v>
      </c>
    </row>
    <row r="11" customFormat="false" ht="27.75" hidden="false" customHeight="true" outlineLevel="0" collapsed="false">
      <c r="B11" s="5" t="s">
        <v>9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4" t="s">
        <v>10</v>
      </c>
    </row>
    <row r="14" customFormat="false" ht="27.75" hidden="false" customHeight="true" outlineLevel="0" collapsed="false">
      <c r="B14" s="5" t="s">
        <v>11</v>
      </c>
    </row>
    <row r="15" customFormat="false" ht="27.75" hidden="false" customHeight="true" outlineLevel="0" collapsed="false">
      <c r="B15" s="5" t="s">
        <v>12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4" t="s">
        <v>13</v>
      </c>
    </row>
    <row r="18" customFormat="false" ht="27.75" hidden="false" customHeight="true" outlineLevel="0" collapsed="false">
      <c r="B18" s="5" t="s">
        <v>14</v>
      </c>
    </row>
    <row r="19" customFormat="false" ht="27.75" hidden="false" customHeight="true" outlineLevel="0" collapsed="false">
      <c r="B19" s="5" t="s">
        <v>15</v>
      </c>
    </row>
    <row r="20" customFormat="false" ht="42" hidden="false" customHeight="true" outlineLevel="0" collapsed="false">
      <c r="B20" s="5" t="s">
        <v>16</v>
      </c>
    </row>
    <row r="21" customFormat="false" ht="27.75" hidden="false" customHeight="true" outlineLevel="0" collapsed="false">
      <c r="B21" s="5" t="s">
        <v>17</v>
      </c>
    </row>
    <row r="22" customFormat="false" ht="15" hidden="false" customHeight="false" outlineLevel="0" collapsed="false">
      <c r="B22" s="3"/>
    </row>
    <row r="23" customFormat="false" ht="15" hidden="false" customHeight="false" outlineLevel="0" collapsed="false">
      <c r="B23" s="4" t="s">
        <v>18</v>
      </c>
    </row>
    <row r="24" customFormat="false" ht="27.75" hidden="false" customHeight="true" outlineLevel="0" collapsed="false">
      <c r="B24" s="5" t="s">
        <v>19</v>
      </c>
    </row>
    <row r="25" customFormat="false" ht="27.75" hidden="false" customHeight="true" outlineLevel="0" collapsed="false">
      <c r="B25" s="5" t="s">
        <v>20</v>
      </c>
    </row>
    <row r="26" customFormat="false" ht="27.75" hidden="false" customHeight="true" outlineLevel="0" collapsed="false">
      <c r="B26" s="5" t="s">
        <v>21</v>
      </c>
    </row>
    <row r="27" customFormat="false" ht="42" hidden="false" customHeight="true" outlineLevel="0" collapsed="false">
      <c r="B27" s="5" t="s">
        <v>22</v>
      </c>
    </row>
    <row r="28" customFormat="false" ht="55.5" hidden="false" customHeight="true" outlineLevel="0" collapsed="false">
      <c r="B28" s="5" t="s">
        <v>23</v>
      </c>
    </row>
    <row r="29" customFormat="false" ht="42" hidden="false" customHeight="true" outlineLevel="0" collapsed="false">
      <c r="B29" s="5" t="s">
        <v>24</v>
      </c>
    </row>
    <row r="30" customFormat="false" ht="42" hidden="false" customHeight="true" outlineLevel="0" collapsed="false">
      <c r="B30" s="5" t="s">
        <v>25</v>
      </c>
    </row>
    <row r="31" customFormat="false" ht="27.75" hidden="false" customHeight="true" outlineLevel="0" collapsed="false">
      <c r="B31" s="5" t="s">
        <v>26</v>
      </c>
    </row>
    <row r="32" customFormat="false" ht="27.75" hidden="false" customHeight="true" outlineLevel="0" collapsed="false">
      <c r="B32" s="5" t="s">
        <v>27</v>
      </c>
    </row>
    <row r="33" customFormat="false" ht="15" hidden="false" customHeight="false" outlineLevel="0" collapsed="false">
      <c r="B33" s="3"/>
    </row>
    <row r="34" customFormat="false" ht="15" hidden="false" customHeight="false" outlineLevel="0" collapsed="false">
      <c r="B34" s="4" t="s">
        <v>28</v>
      </c>
    </row>
    <row r="35" customFormat="false" ht="27.75" hidden="false" customHeight="true" outlineLevel="0" collapsed="false">
      <c r="B35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E1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95"/>
  </cols>
  <sheetData>
    <row r="1" customFormat="false" ht="25.5" hidden="false" customHeight="true" outlineLevel="0" collapsed="false">
      <c r="A1" s="6" t="s">
        <v>30</v>
      </c>
      <c r="B1" s="6"/>
      <c r="C1" s="6"/>
      <c r="D1" s="6"/>
      <c r="E1" s="6"/>
    </row>
    <row r="2" customFormat="false" ht="42" hidden="false" customHeight="true" outlineLevel="0" collapsed="false">
      <c r="A2" s="7" t="s">
        <v>31</v>
      </c>
      <c r="B2" s="7"/>
      <c r="C2" s="7"/>
      <c r="D2" s="7"/>
      <c r="E2" s="7"/>
    </row>
    <row r="3" customFormat="false" ht="15" hidden="false" customHeight="false" outlineLevel="0" collapsed="false">
      <c r="A3" s="8" t="s">
        <v>32</v>
      </c>
      <c r="B3" s="8"/>
      <c r="C3" s="8"/>
      <c r="D3" s="8"/>
      <c r="E3" s="8"/>
    </row>
    <row r="6" customFormat="false" ht="15" hidden="false" customHeight="false" outlineLevel="0" collapsed="false">
      <c r="A6" s="9" t="s">
        <v>33</v>
      </c>
      <c r="B6" s="10"/>
      <c r="C6" s="10"/>
      <c r="D6" s="10"/>
      <c r="E6" s="10"/>
    </row>
    <row r="7" customFormat="false" ht="15" hidden="false" customHeight="false" outlineLevel="0" collapsed="false">
      <c r="A7" s="11" t="s">
        <v>34</v>
      </c>
      <c r="B7" s="11" t="s">
        <v>35</v>
      </c>
      <c r="C7" s="11" t="s">
        <v>36</v>
      </c>
      <c r="D7" s="11" t="s">
        <v>37</v>
      </c>
      <c r="E7" s="11" t="s">
        <v>38</v>
      </c>
    </row>
    <row r="8" customFormat="false" ht="15" hidden="false" customHeight="true" outlineLevel="0" collapsed="false">
      <c r="A8" s="12" t="s">
        <v>39</v>
      </c>
      <c r="B8" s="13"/>
      <c r="C8" s="14" t="s">
        <v>40</v>
      </c>
      <c r="D8" s="15"/>
      <c r="E8" s="16" t="s">
        <v>41</v>
      </c>
    </row>
    <row r="9" customFormat="false" ht="15" hidden="false" customHeight="true" outlineLevel="0" collapsed="false">
      <c r="A9" s="12" t="s">
        <v>42</v>
      </c>
      <c r="B9" s="13"/>
      <c r="C9" s="14" t="s">
        <v>43</v>
      </c>
      <c r="D9" s="15"/>
      <c r="E9" s="16" t="s">
        <v>44</v>
      </c>
    </row>
    <row r="10" customFormat="false" ht="15" hidden="false" customHeight="true" outlineLevel="0" collapsed="false">
      <c r="A10" s="12" t="s">
        <v>45</v>
      </c>
      <c r="B10" s="13"/>
      <c r="C10" s="14" t="s">
        <v>46</v>
      </c>
      <c r="D10" s="15"/>
      <c r="E10" s="16" t="s">
        <v>47</v>
      </c>
    </row>
    <row r="11" customFormat="false" ht="15" hidden="false" customHeight="true" outlineLevel="0" collapsed="false">
      <c r="A11" s="12" t="s">
        <v>48</v>
      </c>
      <c r="B11" s="13"/>
      <c r="C11" s="14" t="s">
        <v>49</v>
      </c>
      <c r="D11" s="15"/>
      <c r="E11" s="16" t="s">
        <v>47</v>
      </c>
    </row>
    <row r="13" customFormat="false" ht="15" hidden="false" customHeight="false" outlineLevel="0" collapsed="false">
      <c r="A13" s="9" t="s">
        <v>50</v>
      </c>
      <c r="B13" s="10"/>
      <c r="C13" s="10"/>
      <c r="D13" s="10"/>
      <c r="E13" s="10"/>
    </row>
    <row r="14" customFormat="false" ht="15" hidden="false" customHeight="false" outlineLevel="0" collapsed="false">
      <c r="A14" s="11" t="s">
        <v>34</v>
      </c>
      <c r="B14" s="11" t="s">
        <v>35</v>
      </c>
      <c r="C14" s="11" t="s">
        <v>36</v>
      </c>
      <c r="D14" s="11" t="s">
        <v>37</v>
      </c>
      <c r="E14" s="11" t="s">
        <v>38</v>
      </c>
    </row>
    <row r="15" customFormat="false" ht="39" hidden="false" customHeight="true" outlineLevel="0" collapsed="false">
      <c r="A15" s="12" t="s">
        <v>51</v>
      </c>
      <c r="B15" s="13"/>
      <c r="C15" s="14" t="s">
        <v>52</v>
      </c>
      <c r="D15" s="15"/>
      <c r="E15" s="16" t="s">
        <v>53</v>
      </c>
    </row>
    <row r="16" customFormat="false" ht="15" hidden="false" customHeight="true" outlineLevel="0" collapsed="false">
      <c r="A16" s="12" t="s">
        <v>54</v>
      </c>
      <c r="B16" s="13" t="s">
        <v>55</v>
      </c>
      <c r="C16" s="17" t="n">
        <f aca="false">IF(LEFT(sc_txt,1)="1",1,2)</f>
        <v>2</v>
      </c>
      <c r="D16" s="15"/>
      <c r="E16" s="16" t="s">
        <v>56</v>
      </c>
    </row>
    <row r="18" customFormat="false" ht="15" hidden="false" customHeight="false" outlineLevel="0" collapsed="false">
      <c r="A18" s="9" t="s">
        <v>57</v>
      </c>
      <c r="B18" s="10"/>
      <c r="C18" s="10"/>
      <c r="D18" s="10"/>
      <c r="E18" s="10"/>
    </row>
    <row r="19" customFormat="false" ht="15" hidden="false" customHeight="false" outlineLevel="0" collapsed="false">
      <c r="A19" s="11" t="s">
        <v>34</v>
      </c>
      <c r="B19" s="11" t="s">
        <v>35</v>
      </c>
      <c r="C19" s="11" t="s">
        <v>36</v>
      </c>
      <c r="D19" s="11" t="s">
        <v>37</v>
      </c>
      <c r="E19" s="11" t="s">
        <v>38</v>
      </c>
    </row>
    <row r="20" customFormat="false" ht="25.5" hidden="false" customHeight="true" outlineLevel="0" collapsed="false">
      <c r="A20" s="12" t="s">
        <v>58</v>
      </c>
      <c r="B20" s="13" t="s">
        <v>59</v>
      </c>
      <c r="C20" s="18" t="n">
        <v>6</v>
      </c>
      <c r="D20" s="15" t="s">
        <v>60</v>
      </c>
      <c r="E20" s="16" t="s">
        <v>61</v>
      </c>
    </row>
    <row r="21" customFormat="false" ht="15" hidden="false" customHeight="true" outlineLevel="0" collapsed="false">
      <c r="A21" s="12" t="s">
        <v>62</v>
      </c>
      <c r="B21" s="13" t="s">
        <v>59</v>
      </c>
      <c r="C21" s="19" t="n">
        <f aca="false">lu_m*1000</f>
        <v>6000</v>
      </c>
      <c r="D21" s="15" t="s">
        <v>63</v>
      </c>
      <c r="E21" s="16" t="s">
        <v>64</v>
      </c>
    </row>
    <row r="22" customFormat="false" ht="25.5" hidden="false" customHeight="true" outlineLevel="0" collapsed="false">
      <c r="A22" s="12" t="s">
        <v>65</v>
      </c>
      <c r="B22" s="13" t="s">
        <v>66</v>
      </c>
      <c r="C22" s="18" t="n">
        <v>4</v>
      </c>
      <c r="D22" s="15" t="s">
        <v>60</v>
      </c>
      <c r="E22" s="16" t="s">
        <v>67</v>
      </c>
    </row>
    <row r="23" customFormat="false" ht="51.75" hidden="false" customHeight="true" outlineLevel="0" collapsed="false">
      <c r="A23" s="12" t="s">
        <v>68</v>
      </c>
      <c r="B23" s="13"/>
      <c r="C23" s="14" t="s">
        <v>69</v>
      </c>
      <c r="D23" s="15"/>
      <c r="E23" s="16" t="s">
        <v>70</v>
      </c>
    </row>
    <row r="24" customFormat="false" ht="25.5" hidden="false" customHeight="true" outlineLevel="0" collapsed="false">
      <c r="A24" s="12" t="s">
        <v>71</v>
      </c>
      <c r="B24" s="13"/>
      <c r="C24" s="19" t="n">
        <f aca="false">IF(AND(sc_n=1,prop_txt="NO"),1,0)</f>
        <v>0</v>
      </c>
      <c r="D24" s="15"/>
      <c r="E24" s="16" t="s">
        <v>72</v>
      </c>
    </row>
    <row r="25" customFormat="false" ht="25.5" hidden="false" customHeight="true" outlineLevel="0" collapsed="false">
      <c r="A25" s="12" t="s">
        <v>73</v>
      </c>
      <c r="B25" s="13"/>
      <c r="C25" s="19" t="n">
        <f aca="false">IF(sc_n=1,1-st_one,IF(ex_load="TUTTI",1,0))</f>
        <v>0</v>
      </c>
      <c r="D25" s="15" t="s">
        <v>74</v>
      </c>
      <c r="E25" s="16" t="s">
        <v>75</v>
      </c>
    </row>
    <row r="26" customFormat="false" ht="15" hidden="false" customHeight="true" outlineLevel="0" collapsed="false">
      <c r="A26" s="12" t="s">
        <v>76</v>
      </c>
      <c r="B26" s="13"/>
      <c r="C26" s="19" t="n">
        <f aca="false">IF(sc_n=1,1,IF(OR(ex_load="TUTTI",ex_g2pre="NO"),1,0))</f>
        <v>0</v>
      </c>
      <c r="D26" s="15" t="s">
        <v>74</v>
      </c>
      <c r="E26" s="16" t="s">
        <v>77</v>
      </c>
    </row>
    <row r="28" customFormat="false" ht="15" hidden="false" customHeight="false" outlineLevel="0" collapsed="false">
      <c r="A28" s="9" t="s">
        <v>78</v>
      </c>
      <c r="B28" s="10"/>
      <c r="C28" s="10"/>
      <c r="D28" s="10"/>
      <c r="E28" s="10"/>
    </row>
    <row r="29" customFormat="false" ht="15" hidden="false" customHeight="false" outlineLevel="0" collapsed="false">
      <c r="A29" s="11" t="s">
        <v>34</v>
      </c>
      <c r="B29" s="11" t="s">
        <v>35</v>
      </c>
      <c r="C29" s="11" t="s">
        <v>36</v>
      </c>
      <c r="D29" s="11" t="s">
        <v>37</v>
      </c>
      <c r="E29" s="11" t="s">
        <v>38</v>
      </c>
    </row>
    <row r="30" customFormat="false" ht="39" hidden="false" customHeight="true" outlineLevel="0" collapsed="false">
      <c r="A30" s="12" t="s">
        <v>79</v>
      </c>
      <c r="B30" s="13" t="s">
        <v>80</v>
      </c>
      <c r="C30" s="18" t="n">
        <v>3</v>
      </c>
      <c r="D30" s="15" t="s">
        <v>81</v>
      </c>
      <c r="E30" s="16" t="s">
        <v>82</v>
      </c>
    </row>
    <row r="31" customFormat="false" ht="25.5" hidden="false" customHeight="true" outlineLevel="0" collapsed="false">
      <c r="A31" s="12" t="s">
        <v>83</v>
      </c>
      <c r="B31" s="13" t="s">
        <v>84</v>
      </c>
      <c r="C31" s="18" t="n">
        <v>0</v>
      </c>
      <c r="D31" s="15" t="s">
        <v>85</v>
      </c>
      <c r="E31" s="16" t="s">
        <v>86</v>
      </c>
    </row>
    <row r="32" customFormat="false" ht="39" hidden="false" customHeight="true" outlineLevel="0" collapsed="false">
      <c r="A32" s="12" t="s">
        <v>87</v>
      </c>
      <c r="B32" s="13" t="s">
        <v>88</v>
      </c>
      <c r="C32" s="18" t="n">
        <v>1</v>
      </c>
      <c r="D32" s="15" t="s">
        <v>81</v>
      </c>
      <c r="E32" s="16" t="s">
        <v>89</v>
      </c>
    </row>
    <row r="33" customFormat="false" ht="25.5" hidden="false" customHeight="true" outlineLevel="0" collapsed="false">
      <c r="A33" s="12" t="s">
        <v>90</v>
      </c>
      <c r="B33" s="13" t="s">
        <v>91</v>
      </c>
      <c r="C33" s="18" t="n">
        <v>2</v>
      </c>
      <c r="D33" s="15" t="s">
        <v>81</v>
      </c>
      <c r="E33" s="16" t="s">
        <v>92</v>
      </c>
    </row>
    <row r="34" customFormat="false" ht="15" hidden="false" customHeight="true" outlineLevel="0" collapsed="false">
      <c r="A34" s="12" t="s">
        <v>93</v>
      </c>
      <c r="B34" s="13" t="s">
        <v>94</v>
      </c>
      <c r="C34" s="18" t="n">
        <v>0</v>
      </c>
      <c r="D34" s="15" t="s">
        <v>85</v>
      </c>
      <c r="E34" s="16" t="s">
        <v>95</v>
      </c>
    </row>
    <row r="35" customFormat="false" ht="15" hidden="false" customHeight="true" outlineLevel="0" collapsed="false">
      <c r="A35" s="12" t="s">
        <v>96</v>
      </c>
      <c r="B35" s="13" t="s">
        <v>97</v>
      </c>
      <c r="C35" s="18" t="n">
        <v>2</v>
      </c>
      <c r="D35" s="15" t="s">
        <v>81</v>
      </c>
      <c r="E35" s="16" t="s">
        <v>98</v>
      </c>
    </row>
    <row r="36" customFormat="false" ht="25.5" hidden="false" customHeight="true" outlineLevel="0" collapsed="false">
      <c r="A36" s="12" t="s">
        <v>99</v>
      </c>
      <c r="B36" s="13" t="s">
        <v>100</v>
      </c>
      <c r="C36" s="18" t="n">
        <v>0.3</v>
      </c>
      <c r="D36" s="15" t="s">
        <v>74</v>
      </c>
      <c r="E36" s="16" t="s">
        <v>101</v>
      </c>
    </row>
    <row r="38" customFormat="false" ht="15" hidden="false" customHeight="false" outlineLevel="0" collapsed="false">
      <c r="A38" s="9" t="s">
        <v>102</v>
      </c>
      <c r="B38" s="10"/>
      <c r="C38" s="10"/>
      <c r="D38" s="10"/>
      <c r="E38" s="10"/>
    </row>
    <row r="39" customFormat="false" ht="15" hidden="false" customHeight="false" outlineLevel="0" collapsed="false">
      <c r="A39" s="11" t="s">
        <v>34</v>
      </c>
      <c r="B39" s="11" t="s">
        <v>35</v>
      </c>
      <c r="C39" s="11" t="s">
        <v>36</v>
      </c>
      <c r="D39" s="11" t="s">
        <v>37</v>
      </c>
      <c r="E39" s="11" t="s">
        <v>38</v>
      </c>
    </row>
    <row r="40" customFormat="false" ht="15" hidden="false" customHeight="true" outlineLevel="0" collapsed="false">
      <c r="A40" s="12" t="s">
        <v>103</v>
      </c>
      <c r="B40" s="13" t="s">
        <v>104</v>
      </c>
      <c r="C40" s="18" t="n">
        <v>1.3</v>
      </c>
      <c r="D40" s="15" t="s">
        <v>74</v>
      </c>
      <c r="E40" s="16" t="s">
        <v>105</v>
      </c>
    </row>
    <row r="41" customFormat="false" ht="15" hidden="false" customHeight="true" outlineLevel="0" collapsed="false">
      <c r="A41" s="12" t="s">
        <v>106</v>
      </c>
      <c r="B41" s="13" t="s">
        <v>107</v>
      </c>
      <c r="C41" s="18" t="n">
        <v>1.5</v>
      </c>
      <c r="D41" s="15" t="s">
        <v>74</v>
      </c>
      <c r="E41" s="16" t="s">
        <v>108</v>
      </c>
    </row>
    <row r="42" customFormat="false" ht="15" hidden="false" customHeight="true" outlineLevel="0" collapsed="false">
      <c r="A42" s="12" t="s">
        <v>109</v>
      </c>
      <c r="B42" s="13" t="s">
        <v>110</v>
      </c>
      <c r="C42" s="18" t="n">
        <v>1.5</v>
      </c>
      <c r="D42" s="15" t="s">
        <v>74</v>
      </c>
      <c r="E42" s="16" t="s">
        <v>111</v>
      </c>
    </row>
    <row r="44" customFormat="false" ht="15" hidden="false" customHeight="false" outlineLevel="0" collapsed="false">
      <c r="A44" s="9" t="s">
        <v>112</v>
      </c>
      <c r="B44" s="10"/>
      <c r="C44" s="10"/>
      <c r="D44" s="10"/>
      <c r="E44" s="10"/>
    </row>
    <row r="45" customFormat="false" ht="15" hidden="false" customHeight="false" outlineLevel="0" collapsed="false">
      <c r="A45" s="11" t="s">
        <v>34</v>
      </c>
      <c r="B45" s="11" t="s">
        <v>35</v>
      </c>
      <c r="C45" s="11" t="s">
        <v>36</v>
      </c>
      <c r="D45" s="11" t="s">
        <v>37</v>
      </c>
      <c r="E45" s="11" t="s">
        <v>38</v>
      </c>
    </row>
    <row r="46" customFormat="false" ht="15" hidden="false" customHeight="true" outlineLevel="0" collapsed="false">
      <c r="A46" s="12" t="s">
        <v>113</v>
      </c>
      <c r="B46" s="13" t="s">
        <v>114</v>
      </c>
      <c r="C46" s="20" t="n">
        <f aca="false">a_area*78.5/1000000</f>
        <v>0.612937732448597</v>
      </c>
      <c r="D46" s="15" t="s">
        <v>85</v>
      </c>
      <c r="E46" s="16" t="s">
        <v>115</v>
      </c>
    </row>
    <row r="47" customFormat="false" ht="15" hidden="false" customHeight="true" outlineLevel="0" collapsed="false">
      <c r="A47" s="12" t="s">
        <v>116</v>
      </c>
      <c r="B47" s="13" t="s">
        <v>117</v>
      </c>
      <c r="C47" s="20" t="n">
        <f aca="false">IF(sc_n=2,ex_bw*(ex_h-ex_hf)*25/1000000,0)</f>
        <v>3.45</v>
      </c>
      <c r="D47" s="15" t="s">
        <v>85</v>
      </c>
      <c r="E47" s="16" t="s">
        <v>118</v>
      </c>
    </row>
    <row r="48" customFormat="false" ht="15" hidden="false" customHeight="true" outlineLevel="0" collapsed="false">
      <c r="A48" s="12" t="s">
        <v>119</v>
      </c>
      <c r="B48" s="13" t="s">
        <v>120</v>
      </c>
      <c r="C48" s="20" t="n">
        <f aca="false">gpre_k*inf_m+gpre_l+g_acc+g_rc</f>
        <v>16.0629377324486</v>
      </c>
      <c r="D48" s="15" t="s">
        <v>85</v>
      </c>
      <c r="E48" s="16" t="s">
        <v>121</v>
      </c>
    </row>
    <row r="49" customFormat="false" ht="15" hidden="false" customHeight="true" outlineLevel="0" collapsed="false">
      <c r="A49" s="12" t="s">
        <v>122</v>
      </c>
      <c r="B49" s="13" t="s">
        <v>123</v>
      </c>
      <c r="C49" s="20" t="n">
        <f aca="false">IF(sc_n=1,qc_k*inf_m,0)</f>
        <v>0</v>
      </c>
      <c r="D49" s="15" t="s">
        <v>85</v>
      </c>
      <c r="E49" s="16" t="s">
        <v>124</v>
      </c>
    </row>
    <row r="50" customFormat="false" ht="15" hidden="false" customHeight="true" outlineLevel="0" collapsed="false">
      <c r="A50" s="12" t="s">
        <v>125</v>
      </c>
      <c r="B50" s="13" t="s">
        <v>126</v>
      </c>
      <c r="C50" s="20" t="n">
        <f aca="false">gtwo_k*inf_m+gtwo_l</f>
        <v>8</v>
      </c>
      <c r="D50" s="15" t="s">
        <v>85</v>
      </c>
      <c r="E50" s="16" t="s">
        <v>127</v>
      </c>
    </row>
    <row r="51" customFormat="false" ht="15" hidden="false" customHeight="true" outlineLevel="0" collapsed="false">
      <c r="A51" s="12" t="s">
        <v>128</v>
      </c>
      <c r="B51" s="13" t="s">
        <v>129</v>
      </c>
      <c r="C51" s="20" t="n">
        <f aca="false">q_k*inf_m</f>
        <v>8</v>
      </c>
      <c r="D51" s="15" t="s">
        <v>85</v>
      </c>
      <c r="E51" s="16" t="s">
        <v>130</v>
      </c>
    </row>
    <row r="52" customFormat="false" ht="15" hidden="false" customHeight="true" outlineLevel="0" collapsed="false">
      <c r="A52" s="12" t="s">
        <v>131</v>
      </c>
      <c r="B52" s="13" t="s">
        <v>132</v>
      </c>
      <c r="C52" s="21" t="n">
        <f aca="false">gam_gone*ln_gone+gam_gtwo*ln_gtwo+gam_q*ln_q</f>
        <v>44.8818190521832</v>
      </c>
      <c r="D52" s="15" t="s">
        <v>85</v>
      </c>
      <c r="E52" s="16" t="s">
        <v>133</v>
      </c>
    </row>
    <row r="54" customFormat="false" ht="15" hidden="false" customHeight="false" outlineLevel="0" collapsed="false">
      <c r="A54" s="9" t="s">
        <v>134</v>
      </c>
      <c r="B54" s="10"/>
      <c r="C54" s="10"/>
      <c r="D54" s="10"/>
      <c r="E54" s="10"/>
    </row>
    <row r="55" customFormat="false" ht="15" hidden="false" customHeight="false" outlineLevel="0" collapsed="false">
      <c r="A55" s="11" t="s">
        <v>34</v>
      </c>
      <c r="B55" s="11" t="s">
        <v>35</v>
      </c>
      <c r="C55" s="11" t="s">
        <v>36</v>
      </c>
      <c r="D55" s="11" t="s">
        <v>37</v>
      </c>
      <c r="E55" s="11" t="s">
        <v>38</v>
      </c>
    </row>
    <row r="56" customFormat="false" ht="15" hidden="false" customHeight="true" outlineLevel="0" collapsed="false">
      <c r="A56" s="12" t="s">
        <v>135</v>
      </c>
      <c r="B56" s="13"/>
      <c r="C56" s="22" t="n">
        <f aca="false">q_slu*lu_m^2/8</f>
        <v>201.968185734824</v>
      </c>
      <c r="D56" s="15" t="s">
        <v>136</v>
      </c>
      <c r="E56" s="16" t="s">
        <v>137</v>
      </c>
    </row>
    <row r="57" customFormat="false" ht="15" hidden="false" customHeight="true" outlineLevel="0" collapsed="false">
      <c r="A57" s="12" t="s">
        <v>138</v>
      </c>
      <c r="B57" s="13"/>
      <c r="C57" s="22" t="n">
        <f aca="false">q_slu*lu_m/2</f>
        <v>134.64545715655</v>
      </c>
      <c r="D57" s="15" t="s">
        <v>139</v>
      </c>
      <c r="E57" s="16" t="s">
        <v>140</v>
      </c>
    </row>
    <row r="58" customFormat="false" ht="25.5" hidden="false" customHeight="true" outlineLevel="0" collapsed="false">
      <c r="A58" s="12" t="s">
        <v>141</v>
      </c>
      <c r="B58" s="13"/>
      <c r="C58" s="23" t="n">
        <v>0</v>
      </c>
      <c r="D58" s="15" t="s">
        <v>136</v>
      </c>
      <c r="E58" s="16" t="s">
        <v>142</v>
      </c>
    </row>
    <row r="59" customFormat="false" ht="25.5" hidden="false" customHeight="true" outlineLevel="0" collapsed="false">
      <c r="A59" s="12" t="s">
        <v>143</v>
      </c>
      <c r="B59" s="13"/>
      <c r="C59" s="23" t="n">
        <v>0</v>
      </c>
      <c r="D59" s="15" t="s">
        <v>139</v>
      </c>
      <c r="E59" s="16" t="s">
        <v>144</v>
      </c>
    </row>
    <row r="60" customFormat="false" ht="15" hidden="false" customHeight="true" outlineLevel="0" collapsed="false">
      <c r="A60" s="12" t="s">
        <v>145</v>
      </c>
      <c r="B60" s="13" t="s">
        <v>146</v>
      </c>
      <c r="C60" s="24" t="n">
        <f aca="false">IF(m_man&gt;0,m_man,m_auto)</f>
        <v>201.968185734824</v>
      </c>
      <c r="D60" s="15" t="s">
        <v>136</v>
      </c>
      <c r="E60" s="16" t="s">
        <v>147</v>
      </c>
    </row>
    <row r="61" customFormat="false" ht="15" hidden="false" customHeight="true" outlineLevel="0" collapsed="false">
      <c r="A61" s="12" t="s">
        <v>148</v>
      </c>
      <c r="B61" s="13" t="s">
        <v>149</v>
      </c>
      <c r="C61" s="24" t="n">
        <f aca="false">IF(v_man&gt;0,v_man,v_auto)</f>
        <v>134.64545715655</v>
      </c>
      <c r="D61" s="15" t="s">
        <v>139</v>
      </c>
      <c r="E61" s="16" t="s">
        <v>150</v>
      </c>
    </row>
    <row r="62" customFormat="false" ht="15" hidden="false" customHeight="true" outlineLevel="0" collapsed="false">
      <c r="A62" s="12" t="s">
        <v>151</v>
      </c>
      <c r="B62" s="13"/>
      <c r="C62" s="25" t="n">
        <f aca="false">IF(m_auto&gt;0,m_ed/m_auto,1)</f>
        <v>1</v>
      </c>
      <c r="D62" s="15" t="s">
        <v>74</v>
      </c>
      <c r="E62" s="16" t="s">
        <v>152</v>
      </c>
    </row>
    <row r="63" customFormat="false" ht="15" hidden="false" customHeight="true" outlineLevel="0" collapsed="false">
      <c r="A63" s="12" t="s">
        <v>153</v>
      </c>
      <c r="B63" s="13"/>
      <c r="C63" s="25" t="n">
        <f aca="false">IF(v_auto&gt;0,v_ed/v_auto,1)</f>
        <v>1</v>
      </c>
      <c r="D63" s="15" t="s">
        <v>74</v>
      </c>
      <c r="E63" s="16" t="s">
        <v>154</v>
      </c>
    </row>
    <row r="64" customFormat="false" ht="15" hidden="false" customHeight="true" outlineLevel="0" collapsed="false">
      <c r="A64" s="12" t="s">
        <v>155</v>
      </c>
      <c r="B64" s="13" t="s">
        <v>156</v>
      </c>
      <c r="C64" s="22" t="n">
        <f aca="false">gam_gone*ln_gone*lu_m^2/8*k_m</f>
        <v>93.9681857348243</v>
      </c>
      <c r="D64" s="15" t="s">
        <v>136</v>
      </c>
      <c r="E64" s="16" t="s">
        <v>157</v>
      </c>
    </row>
    <row r="65" customFormat="false" ht="15" hidden="false" customHeight="true" outlineLevel="0" collapsed="false">
      <c r="A65" s="12" t="s">
        <v>158</v>
      </c>
      <c r="B65" s="13" t="s">
        <v>159</v>
      </c>
      <c r="C65" s="22" t="n">
        <f aca="false">gam_gtwo*ln_gtwo*lu_m^2/8*k_m</f>
        <v>54</v>
      </c>
      <c r="D65" s="15" t="s">
        <v>136</v>
      </c>
      <c r="E65" s="16"/>
    </row>
    <row r="66" customFormat="false" ht="15" hidden="false" customHeight="true" outlineLevel="0" collapsed="false">
      <c r="A66" s="12" t="s">
        <v>160</v>
      </c>
      <c r="B66" s="13" t="s">
        <v>161</v>
      </c>
      <c r="C66" s="22" t="n">
        <f aca="false">gam_q*ln_q*lu_m^2/8*k_m</f>
        <v>54</v>
      </c>
      <c r="D66" s="15" t="s">
        <v>136</v>
      </c>
      <c r="E66" s="16"/>
    </row>
    <row r="67" customFormat="false" ht="15" hidden="false" customHeight="true" outlineLevel="0" collapsed="false">
      <c r="A67" s="12" t="s">
        <v>162</v>
      </c>
      <c r="B67" s="13" t="s">
        <v>163</v>
      </c>
      <c r="C67" s="22" t="n">
        <f aca="false">gam_gone*ln_gone*lu_m/2*k_v</f>
        <v>62.6454571565495</v>
      </c>
      <c r="D67" s="15" t="s">
        <v>139</v>
      </c>
      <c r="E67" s="16"/>
    </row>
    <row r="68" customFormat="false" ht="15" hidden="false" customHeight="true" outlineLevel="0" collapsed="false">
      <c r="A68" s="12" t="s">
        <v>164</v>
      </c>
      <c r="B68" s="13" t="s">
        <v>165</v>
      </c>
      <c r="C68" s="22" t="n">
        <f aca="false">gam_gtwo*ln_gtwo*lu_m/2*k_v</f>
        <v>36</v>
      </c>
      <c r="D68" s="15" t="s">
        <v>139</v>
      </c>
      <c r="E68" s="16"/>
    </row>
    <row r="69" customFormat="false" ht="15" hidden="false" customHeight="true" outlineLevel="0" collapsed="false">
      <c r="A69" s="12" t="s">
        <v>166</v>
      </c>
      <c r="B69" s="13" t="s">
        <v>167</v>
      </c>
      <c r="C69" s="22" t="n">
        <f aca="false">gam_q*ln_q*lu_m/2*k_v</f>
        <v>36</v>
      </c>
      <c r="D69" s="15" t="s">
        <v>139</v>
      </c>
      <c r="E69" s="16"/>
    </row>
    <row r="70" customFormat="false" ht="25.5" hidden="false" customHeight="true" outlineLevel="0" collapsed="false">
      <c r="A70" s="12" t="s">
        <v>168</v>
      </c>
      <c r="B70" s="13" t="s">
        <v>169</v>
      </c>
      <c r="C70" s="24" t="n">
        <f aca="false">c_gone*m_gone+c_gtwo*m_gtwo+m_q</f>
        <v>54</v>
      </c>
      <c r="D70" s="15" t="s">
        <v>136</v>
      </c>
      <c r="E70" s="16" t="s">
        <v>170</v>
      </c>
    </row>
    <row r="71" customFormat="false" ht="15" hidden="false" customHeight="true" outlineLevel="0" collapsed="false">
      <c r="A71" s="12" t="s">
        <v>171</v>
      </c>
      <c r="B71" s="13" t="s">
        <v>172</v>
      </c>
      <c r="C71" s="24" t="n">
        <f aca="false">c_gone*v_gone+c_gtwo*v_gtwo+v_q</f>
        <v>36</v>
      </c>
      <c r="D71" s="15" t="s">
        <v>139</v>
      </c>
      <c r="E71" s="16" t="s">
        <v>173</v>
      </c>
    </row>
    <row r="72" customFormat="false" ht="15" hidden="false" customHeight="true" outlineLevel="0" collapsed="false">
      <c r="A72" s="12" t="s">
        <v>174</v>
      </c>
      <c r="B72" s="13" t="s">
        <v>175</v>
      </c>
      <c r="C72" s="22" t="n">
        <f aca="false">IF(sc_n=1,(gam_gone*ln_gone+gam_q*ln_qc)*lu_m^2/8,0)</f>
        <v>0</v>
      </c>
      <c r="D72" s="15" t="s">
        <v>136</v>
      </c>
      <c r="E72" s="16" t="s">
        <v>176</v>
      </c>
    </row>
    <row r="73" customFormat="false" ht="15" hidden="false" customHeight="true" outlineLevel="0" collapsed="false">
      <c r="A73" s="12" t="s">
        <v>177</v>
      </c>
      <c r="B73" s="13" t="s">
        <v>178</v>
      </c>
      <c r="C73" s="22" t="n">
        <f aca="false">IF(sc_n=1,(gam_gone*ln_gone+gam_q*ln_qc)*lu_m/2,0)</f>
        <v>0</v>
      </c>
      <c r="D73" s="15" t="s">
        <v>139</v>
      </c>
      <c r="E73" s="16"/>
    </row>
    <row r="75" customFormat="false" ht="15" hidden="false" customHeight="false" outlineLevel="0" collapsed="false">
      <c r="A75" s="9" t="s">
        <v>179</v>
      </c>
      <c r="B75" s="10"/>
      <c r="C75" s="10"/>
      <c r="D75" s="10"/>
      <c r="E75" s="10"/>
    </row>
    <row r="76" customFormat="false" ht="15" hidden="false" customHeight="false" outlineLevel="0" collapsed="false">
      <c r="A76" s="11" t="s">
        <v>34</v>
      </c>
      <c r="B76" s="11" t="s">
        <v>35</v>
      </c>
      <c r="C76" s="11" t="s">
        <v>36</v>
      </c>
      <c r="D76" s="11" t="s">
        <v>37</v>
      </c>
      <c r="E76" s="11" t="s">
        <v>38</v>
      </c>
    </row>
    <row r="77" customFormat="false" ht="15" hidden="false" customHeight="true" outlineLevel="0" collapsed="false">
      <c r="A77" s="12" t="s">
        <v>180</v>
      </c>
      <c r="B77" s="13"/>
      <c r="C77" s="14" t="s">
        <v>181</v>
      </c>
      <c r="D77" s="15"/>
      <c r="E77" s="16" t="s">
        <v>182</v>
      </c>
    </row>
    <row r="78" customFormat="false" ht="15" hidden="false" customHeight="true" outlineLevel="0" collapsed="false">
      <c r="A78" s="12" t="s">
        <v>183</v>
      </c>
      <c r="B78" s="13" t="s">
        <v>184</v>
      </c>
      <c r="C78" s="19" t="n">
        <f aca="false">INDEX(tb_stfy,MATCH(st_gr,tb_st,0))</f>
        <v>275</v>
      </c>
      <c r="D78" s="15" t="s">
        <v>185</v>
      </c>
      <c r="E78" s="16" t="s">
        <v>186</v>
      </c>
    </row>
    <row r="79" customFormat="false" ht="15" hidden="false" customHeight="true" outlineLevel="0" collapsed="false">
      <c r="A79" s="12" t="s">
        <v>187</v>
      </c>
      <c r="B79" s="13" t="s">
        <v>188</v>
      </c>
      <c r="C79" s="19" t="n">
        <f aca="false">INDEX(tb_stfu,MATCH(st_gr,tb_st,0))</f>
        <v>430</v>
      </c>
      <c r="D79" s="15" t="s">
        <v>185</v>
      </c>
      <c r="E79" s="16" t="s">
        <v>186</v>
      </c>
    </row>
    <row r="80" customFormat="false" ht="15" hidden="false" customHeight="true" outlineLevel="0" collapsed="false">
      <c r="A80" s="12" t="s">
        <v>189</v>
      </c>
      <c r="B80" s="13" t="s">
        <v>190</v>
      </c>
      <c r="C80" s="18" t="n">
        <v>1.05</v>
      </c>
      <c r="D80" s="15" t="s">
        <v>74</v>
      </c>
      <c r="E80" s="16" t="s">
        <v>191</v>
      </c>
    </row>
    <row r="81" customFormat="false" ht="15" hidden="false" customHeight="true" outlineLevel="0" collapsed="false">
      <c r="A81" s="12" t="s">
        <v>192</v>
      </c>
      <c r="B81" s="13" t="s">
        <v>193</v>
      </c>
      <c r="C81" s="18" t="n">
        <v>1.25</v>
      </c>
      <c r="D81" s="15" t="s">
        <v>74</v>
      </c>
      <c r="E81" s="16" t="s">
        <v>194</v>
      </c>
    </row>
    <row r="82" customFormat="false" ht="15" hidden="false" customHeight="true" outlineLevel="0" collapsed="false">
      <c r="A82" s="12" t="s">
        <v>195</v>
      </c>
      <c r="B82" s="13" t="s">
        <v>196</v>
      </c>
      <c r="C82" s="26" t="n">
        <v>210000</v>
      </c>
      <c r="D82" s="15" t="s">
        <v>185</v>
      </c>
      <c r="E82" s="16" t="s">
        <v>197</v>
      </c>
    </row>
    <row r="83" customFormat="false" ht="15" hidden="false" customHeight="true" outlineLevel="0" collapsed="false">
      <c r="A83" s="12" t="s">
        <v>198</v>
      </c>
      <c r="B83" s="13" t="s">
        <v>199</v>
      </c>
      <c r="C83" s="24" t="n">
        <f aca="false">fyk_a/gam_mo</f>
        <v>261.904761904762</v>
      </c>
      <c r="D83" s="15" t="s">
        <v>185</v>
      </c>
      <c r="E83" s="16" t="s">
        <v>200</v>
      </c>
    </row>
    <row r="84" customFormat="false" ht="15" hidden="false" customHeight="true" outlineLevel="0" collapsed="false">
      <c r="A84" s="12" t="s">
        <v>201</v>
      </c>
      <c r="B84" s="13" t="s">
        <v>202</v>
      </c>
      <c r="C84" s="25" t="n">
        <f aca="false">SQRT(235/fyk_a)</f>
        <v>0.924416277737175</v>
      </c>
      <c r="D84" s="15" t="s">
        <v>74</v>
      </c>
      <c r="E84" s="16" t="s">
        <v>203</v>
      </c>
    </row>
    <row r="86" customFormat="false" ht="15" hidden="false" customHeight="false" outlineLevel="0" collapsed="false">
      <c r="A86" s="9" t="s">
        <v>204</v>
      </c>
      <c r="B86" s="10"/>
      <c r="C86" s="10"/>
      <c r="D86" s="10"/>
      <c r="E86" s="10"/>
    </row>
    <row r="87" customFormat="false" ht="15" hidden="false" customHeight="false" outlineLevel="0" collapsed="false">
      <c r="A87" s="11" t="s">
        <v>34</v>
      </c>
      <c r="B87" s="11" t="s">
        <v>35</v>
      </c>
      <c r="C87" s="11" t="s">
        <v>36</v>
      </c>
      <c r="D87" s="11" t="s">
        <v>37</v>
      </c>
      <c r="E87" s="11" t="s">
        <v>38</v>
      </c>
    </row>
    <row r="88" customFormat="false" ht="25.5" hidden="false" customHeight="true" outlineLevel="0" collapsed="false">
      <c r="A88" s="12" t="s">
        <v>205</v>
      </c>
      <c r="B88" s="13" t="s">
        <v>206</v>
      </c>
      <c r="C88" s="21" t="n">
        <f aca="false">IF(sc_n=1,new_fck,ex_fcm/ex_fc)</f>
        <v>16.6666666666667</v>
      </c>
      <c r="D88" s="15" t="s">
        <v>185</v>
      </c>
      <c r="E88" s="16" t="s">
        <v>207</v>
      </c>
    </row>
    <row r="89" customFormat="false" ht="15" hidden="false" customHeight="true" outlineLevel="0" collapsed="false">
      <c r="A89" s="12" t="s">
        <v>208</v>
      </c>
      <c r="B89" s="13" t="s">
        <v>209</v>
      </c>
      <c r="C89" s="19" t="n">
        <f aca="false">IF(sc_n=1,22000*((new_fck+8)/10)^0.3,22000*(ex_fcm/10)^0.3)</f>
        <v>27085.1770935882</v>
      </c>
      <c r="D89" s="15" t="s">
        <v>185</v>
      </c>
      <c r="E89" s="16" t="s">
        <v>210</v>
      </c>
    </row>
    <row r="90" customFormat="false" ht="15" hidden="false" customHeight="true" outlineLevel="0" collapsed="false">
      <c r="A90" s="12" t="s">
        <v>211</v>
      </c>
      <c r="B90" s="13" t="s">
        <v>212</v>
      </c>
      <c r="C90" s="18" t="n">
        <v>1.5</v>
      </c>
      <c r="D90" s="15" t="s">
        <v>74</v>
      </c>
      <c r="E90" s="16" t="s">
        <v>213</v>
      </c>
    </row>
    <row r="91" customFormat="false" ht="25.5" hidden="false" customHeight="true" outlineLevel="0" collapsed="false">
      <c r="A91" s="12" t="s">
        <v>214</v>
      </c>
      <c r="B91" s="13" t="s">
        <v>215</v>
      </c>
      <c r="C91" s="18" t="n">
        <v>0.85</v>
      </c>
      <c r="D91" s="15" t="s">
        <v>74</v>
      </c>
      <c r="E91" s="16" t="s">
        <v>216</v>
      </c>
    </row>
    <row r="92" customFormat="false" ht="15" hidden="false" customHeight="true" outlineLevel="0" collapsed="false">
      <c r="A92" s="12" t="s">
        <v>217</v>
      </c>
      <c r="B92" s="13" t="s">
        <v>218</v>
      </c>
      <c r="C92" s="21" t="n">
        <f aca="false">alf_cc*fck_c/gam_c</f>
        <v>9.44444444444445</v>
      </c>
      <c r="D92" s="15" t="s">
        <v>185</v>
      </c>
      <c r="E92" s="16" t="s">
        <v>219</v>
      </c>
    </row>
    <row r="93" customFormat="false" ht="15" hidden="false" customHeight="true" outlineLevel="0" collapsed="false">
      <c r="A93" s="12" t="s">
        <v>220</v>
      </c>
      <c r="B93" s="13" t="s">
        <v>221</v>
      </c>
      <c r="C93" s="20" t="n">
        <f aca="false">e_acc/ecm_c</f>
        <v>7.75331832885498</v>
      </c>
      <c r="D93" s="15" t="s">
        <v>74</v>
      </c>
      <c r="E93" s="16" t="s">
        <v>222</v>
      </c>
    </row>
    <row r="94" customFormat="false" ht="25.5" hidden="false" customHeight="true" outlineLevel="0" collapsed="false">
      <c r="A94" s="12" t="s">
        <v>223</v>
      </c>
      <c r="B94" s="13" t="s">
        <v>224</v>
      </c>
      <c r="C94" s="18" t="n">
        <v>3</v>
      </c>
      <c r="D94" s="15" t="s">
        <v>74</v>
      </c>
      <c r="E94" s="16" t="s">
        <v>225</v>
      </c>
    </row>
    <row r="95" customFormat="false" ht="15" hidden="false" customHeight="true" outlineLevel="0" collapsed="false">
      <c r="A95" s="12" t="s">
        <v>226</v>
      </c>
      <c r="B95" s="13" t="s">
        <v>227</v>
      </c>
      <c r="C95" s="20" t="n">
        <f aca="false">n_zero*k_visc</f>
        <v>23.2599549865649</v>
      </c>
      <c r="D95" s="15" t="s">
        <v>74</v>
      </c>
      <c r="E95" s="16" t="s">
        <v>228</v>
      </c>
    </row>
    <row r="97" customFormat="false" ht="15" hidden="false" customHeight="false" outlineLevel="0" collapsed="false">
      <c r="A97" s="9" t="s">
        <v>229</v>
      </c>
      <c r="B97" s="10"/>
      <c r="C97" s="10"/>
      <c r="D97" s="10"/>
      <c r="E97" s="10"/>
    </row>
    <row r="98" customFormat="false" ht="15" hidden="false" customHeight="false" outlineLevel="0" collapsed="false">
      <c r="A98" s="11" t="s">
        <v>34</v>
      </c>
      <c r="B98" s="11" t="s">
        <v>35</v>
      </c>
      <c r="C98" s="11" t="s">
        <v>36</v>
      </c>
      <c r="D98" s="11" t="s">
        <v>37</v>
      </c>
      <c r="E98" s="11" t="s">
        <v>38</v>
      </c>
    </row>
    <row r="99" customFormat="false" ht="15" hidden="false" customHeight="true" outlineLevel="0" collapsed="false">
      <c r="A99" s="12" t="s">
        <v>230</v>
      </c>
      <c r="B99" s="13" t="s">
        <v>184</v>
      </c>
      <c r="C99" s="26" t="n">
        <v>450</v>
      </c>
      <c r="D99" s="15" t="s">
        <v>185</v>
      </c>
      <c r="E99" s="16" t="s">
        <v>231</v>
      </c>
    </row>
    <row r="100" customFormat="false" ht="15" hidden="false" customHeight="true" outlineLevel="0" collapsed="false">
      <c r="A100" s="12" t="s">
        <v>232</v>
      </c>
      <c r="B100" s="13" t="s">
        <v>233</v>
      </c>
      <c r="C100" s="18" t="n">
        <v>1.15</v>
      </c>
      <c r="D100" s="15" t="s">
        <v>74</v>
      </c>
      <c r="E100" s="16" t="s">
        <v>234</v>
      </c>
    </row>
    <row r="101" customFormat="false" ht="15" hidden="false" customHeight="true" outlineLevel="0" collapsed="false">
      <c r="A101" s="12" t="s">
        <v>235</v>
      </c>
      <c r="B101" s="13" t="s">
        <v>236</v>
      </c>
      <c r="C101" s="22" t="n">
        <f aca="false">fyk_s/gam_s</f>
        <v>391.304347826087</v>
      </c>
      <c r="D101" s="15" t="s">
        <v>185</v>
      </c>
      <c r="E101" s="16"/>
    </row>
    <row r="103" customFormat="false" ht="15" hidden="false" customHeight="false" outlineLevel="0" collapsed="false">
      <c r="A103" s="9" t="s">
        <v>237</v>
      </c>
      <c r="B103" s="10"/>
      <c r="C103" s="10"/>
      <c r="D103" s="10"/>
      <c r="E103" s="10"/>
    </row>
    <row r="104" customFormat="false" ht="15" hidden="false" customHeight="false" outlineLevel="0" collapsed="false">
      <c r="A104" s="11" t="s">
        <v>34</v>
      </c>
      <c r="B104" s="11" t="s">
        <v>35</v>
      </c>
      <c r="C104" s="11" t="s">
        <v>36</v>
      </c>
      <c r="D104" s="11" t="s">
        <v>37</v>
      </c>
      <c r="E104" s="11" t="s">
        <v>38</v>
      </c>
    </row>
    <row r="105" customFormat="false" ht="15" hidden="false" customHeight="true" outlineLevel="0" collapsed="false">
      <c r="A105" s="12" t="s">
        <v>238</v>
      </c>
      <c r="B105" s="13"/>
      <c r="C105" s="26" t="n">
        <v>250</v>
      </c>
      <c r="D105" s="15" t="s">
        <v>74</v>
      </c>
      <c r="E105" s="16" t="s">
        <v>239</v>
      </c>
    </row>
    <row r="106" customFormat="false" ht="15" hidden="false" customHeight="true" outlineLevel="0" collapsed="false">
      <c r="A106" s="12" t="s">
        <v>240</v>
      </c>
      <c r="B106" s="13"/>
      <c r="C106" s="26" t="n">
        <v>300</v>
      </c>
      <c r="D106" s="15" t="s">
        <v>74</v>
      </c>
      <c r="E106" s="16" t="s">
        <v>241</v>
      </c>
    </row>
  </sheetData>
  <mergeCells count="3">
    <mergeCell ref="A1:E1"/>
    <mergeCell ref="A2:E2"/>
    <mergeCell ref="A3:E3"/>
  </mergeCells>
  <dataValidations count="5">
    <dataValidation allowBlank="false" error="Scegliere un valore dall'elenco." errorStyle="stop" errorTitle="Valore non ammesso" operator="between" prompt="1 = trave nuova con soletta su lamiera grecata e pioli. 2 = rinforzo di trave c.a. esistente con profilo in acciaio sottoposto e barre inghisate." promptTitle="Scenario" showDropDown="false" showErrorMessage="true" showInputMessage="true" sqref="C15" type="list">
      <formula1>"1 - NUOVA: soletta c.a. su lamiera grecata + pioli,2 - RINFORZO: trave acciaio sotto trave c.a. esistente + inghisaggi"</formula1>
      <formula2>0</formula2>
    </dataValidation>
    <dataValidation allowBlank="false" error="Valore fuori dal campo ammesso (0.5 - 30)." errorStyle="stop" operator="between" promptTitle="Valore ammesso" showDropDown="false" showErrorMessage="true" showInputMessage="true" sqref="C20" type="decimal">
      <formula1>0.5</formula1>
      <formula2>30</formula2>
    </dataValidation>
    <dataValidation allowBlank="false" error="Valore fuori dal campo ammesso (0 - 20)." errorStyle="stop" operator="between" promptTitle="Valore ammesso" showDropDown="false" showErrorMessage="true" showInputMessage="true" sqref="C22" type="decimal">
      <formula1>0</formula1>
      <formula2>20</formula2>
    </dataValidation>
    <dataValidation allowBlank="false" error="Scegliere un valore dall'elenco." errorStyle="stop" errorTitle="Valore non ammesso" operator="between" prompt="SI = trave puntellata durante il getto (tutto il carico va sulla sezione composta). NO = trave non puntellata (fase 1 sulla sola trave in acciaio)." promptTitle="Puntellatura" showDropDown="false" showErrorMessage="true" showInputMessage="true" sqref="C23" type="list">
      <formula1>"SI,NO"</formula1>
      <formula2>0</formula2>
    </dataValidation>
    <dataValidation allowBlank="false" error="Scegliere un valore dall'elenco." errorStyle="stop" errorTitle="Valore non ammesso" operator="between" prompt="Grado acciaio del profilo (NTC Tab. 11.3.IX, t&lt;=40mm)." promptTitle="Acciaio" showDropDown="false" showErrorMessage="true" showInputMessage="true" sqref="C77" type="list">
      <formula1>"S235,S275,S355,S420,S460"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95"/>
    <col collapsed="false" customWidth="true" hidden="false" outlineLevel="0" max="13" min="6" style="0" width="14"/>
  </cols>
  <sheetData>
    <row r="1" customFormat="false" ht="25.5" hidden="false" customHeight="true" outlineLevel="0" collapsed="false">
      <c r="A1" s="6" t="s">
        <v>242</v>
      </c>
      <c r="B1" s="6"/>
      <c r="C1" s="6"/>
      <c r="D1" s="6"/>
      <c r="E1" s="6"/>
    </row>
    <row r="2" customFormat="false" ht="42" hidden="false" customHeight="true" outlineLevel="0" collapsed="false">
      <c r="A2" s="7" t="s">
        <v>243</v>
      </c>
      <c r="B2" s="7"/>
      <c r="C2" s="7"/>
      <c r="D2" s="7"/>
      <c r="E2" s="7"/>
    </row>
    <row r="3" customFormat="false" ht="15" hidden="false" customHeight="false" outlineLevel="0" collapsed="false">
      <c r="A3" s="8" t="s">
        <v>32</v>
      </c>
      <c r="B3" s="8"/>
      <c r="C3" s="8"/>
      <c r="D3" s="8"/>
      <c r="E3" s="8"/>
    </row>
    <row r="6" customFormat="false" ht="15" hidden="false" customHeight="false" outlineLevel="0" collapsed="false">
      <c r="A6" s="9" t="s">
        <v>244</v>
      </c>
      <c r="B6" s="10"/>
      <c r="C6" s="10"/>
      <c r="D6" s="10"/>
      <c r="E6" s="10"/>
    </row>
    <row r="7" customFormat="false" ht="15" hidden="false" customHeight="false" outlineLevel="0" collapsed="false">
      <c r="A7" s="11" t="s">
        <v>34</v>
      </c>
      <c r="B7" s="11" t="s">
        <v>35</v>
      </c>
      <c r="C7" s="11" t="s">
        <v>36</v>
      </c>
      <c r="D7" s="11" t="s">
        <v>37</v>
      </c>
      <c r="E7" s="11" t="s">
        <v>38</v>
      </c>
    </row>
    <row r="8" customFormat="false" ht="15" hidden="false" customHeight="true" outlineLevel="0" collapsed="false">
      <c r="A8" s="12" t="s">
        <v>245</v>
      </c>
      <c r="B8" s="13"/>
      <c r="C8" s="14" t="s">
        <v>246</v>
      </c>
      <c r="D8" s="15"/>
      <c r="E8" s="16" t="s">
        <v>247</v>
      </c>
    </row>
    <row r="9" customFormat="false" ht="15" hidden="false" customHeight="true" outlineLevel="0" collapsed="false">
      <c r="A9" s="12" t="s">
        <v>248</v>
      </c>
      <c r="B9" s="13" t="s">
        <v>249</v>
      </c>
      <c r="C9" s="23" t="n">
        <v>200</v>
      </c>
      <c r="D9" s="15" t="s">
        <v>63</v>
      </c>
      <c r="E9" s="16" t="s">
        <v>250</v>
      </c>
    </row>
    <row r="10" customFormat="false" ht="25.5" hidden="false" customHeight="true" outlineLevel="0" collapsed="false">
      <c r="A10" s="12" t="s">
        <v>251</v>
      </c>
      <c r="B10" s="13" t="s">
        <v>252</v>
      </c>
      <c r="C10" s="23" t="n">
        <v>200</v>
      </c>
      <c r="D10" s="15" t="s">
        <v>63</v>
      </c>
      <c r="E10" s="16" t="s">
        <v>253</v>
      </c>
    </row>
    <row r="11" customFormat="false" ht="15" hidden="false" customHeight="true" outlineLevel="0" collapsed="false">
      <c r="A11" s="12" t="s">
        <v>254</v>
      </c>
      <c r="B11" s="13" t="s">
        <v>255</v>
      </c>
      <c r="C11" s="23" t="n">
        <v>15</v>
      </c>
      <c r="D11" s="15" t="s">
        <v>63</v>
      </c>
      <c r="E11" s="16" t="s">
        <v>256</v>
      </c>
    </row>
    <row r="12" customFormat="false" ht="15" hidden="false" customHeight="true" outlineLevel="0" collapsed="false">
      <c r="A12" s="12" t="s">
        <v>257</v>
      </c>
      <c r="B12" s="13" t="s">
        <v>258</v>
      </c>
      <c r="C12" s="23" t="n">
        <v>200</v>
      </c>
      <c r="D12" s="15" t="s">
        <v>63</v>
      </c>
      <c r="E12" s="16" t="s">
        <v>259</v>
      </c>
    </row>
    <row r="13" customFormat="false" ht="15" hidden="false" customHeight="true" outlineLevel="0" collapsed="false">
      <c r="A13" s="12" t="s">
        <v>260</v>
      </c>
      <c r="B13" s="13" t="s">
        <v>261</v>
      </c>
      <c r="C13" s="23" t="n">
        <v>15</v>
      </c>
      <c r="D13" s="15" t="s">
        <v>63</v>
      </c>
      <c r="E13" s="16" t="s">
        <v>262</v>
      </c>
    </row>
    <row r="14" customFormat="false" ht="15" hidden="false" customHeight="true" outlineLevel="0" collapsed="false">
      <c r="A14" s="12" t="s">
        <v>263</v>
      </c>
      <c r="B14" s="13" t="s">
        <v>264</v>
      </c>
      <c r="C14" s="23" t="n">
        <v>9</v>
      </c>
      <c r="D14" s="15" t="s">
        <v>63</v>
      </c>
      <c r="E14" s="16" t="s">
        <v>265</v>
      </c>
    </row>
    <row r="15" customFormat="false" ht="25.5" hidden="false" customHeight="true" outlineLevel="0" collapsed="false">
      <c r="A15" s="12" t="s">
        <v>266</v>
      </c>
      <c r="B15" s="13" t="s">
        <v>267</v>
      </c>
      <c r="C15" s="23" t="n">
        <v>18</v>
      </c>
      <c r="D15" s="15" t="s">
        <v>63</v>
      </c>
      <c r="E15" s="16" t="s">
        <v>268</v>
      </c>
    </row>
    <row r="16" customFormat="false" ht="15" hidden="false" customHeight="true" outlineLevel="0" collapsed="false">
      <c r="A16" s="12" t="s">
        <v>269</v>
      </c>
      <c r="B16" s="13" t="s">
        <v>270</v>
      </c>
      <c r="C16" s="22" t="n">
        <f aca="false">a_h-a_ts-a_ti</f>
        <v>170</v>
      </c>
      <c r="D16" s="15" t="s">
        <v>63</v>
      </c>
      <c r="E16" s="16" t="s">
        <v>271</v>
      </c>
    </row>
    <row r="17" customFormat="false" ht="15" hidden="false" customHeight="true" outlineLevel="0" collapsed="false">
      <c r="A17" s="12" t="s">
        <v>272</v>
      </c>
      <c r="B17" s="13"/>
      <c r="C17" s="20" t="n">
        <f aca="false">2*(1-PI()/4)*a_r</f>
        <v>7.72566611769186</v>
      </c>
      <c r="D17" s="15" t="s">
        <v>63</v>
      </c>
      <c r="E17" s="16" t="s">
        <v>273</v>
      </c>
    </row>
    <row r="19" customFormat="false" ht="15" hidden="false" customHeight="false" outlineLevel="0" collapsed="false">
      <c r="A19" s="27" t="s">
        <v>274</v>
      </c>
    </row>
    <row r="20" customFormat="false" ht="15" hidden="false" customHeight="false" outlineLevel="0" collapsed="false">
      <c r="A20" s="11" t="s">
        <v>275</v>
      </c>
      <c r="B20" s="11" t="s">
        <v>276</v>
      </c>
      <c r="C20" s="11" t="s">
        <v>277</v>
      </c>
      <c r="D20" s="11" t="s">
        <v>278</v>
      </c>
      <c r="E20" s="11" t="s">
        <v>279</v>
      </c>
      <c r="F20" s="11" t="s">
        <v>280</v>
      </c>
      <c r="G20" s="11" t="s">
        <v>281</v>
      </c>
      <c r="H20" s="11" t="s">
        <v>282</v>
      </c>
    </row>
    <row r="21" customFormat="false" ht="15" hidden="false" customHeight="false" outlineLevel="0" collapsed="false">
      <c r="A21" s="28" t="s">
        <v>283</v>
      </c>
      <c r="B21" s="29" t="n">
        <f aca="false">0</f>
        <v>0</v>
      </c>
      <c r="C21" s="29" t="n">
        <f aca="false">a_ts</f>
        <v>15</v>
      </c>
      <c r="D21" s="29" t="n">
        <f aca="false">a_bs</f>
        <v>200</v>
      </c>
      <c r="E21" s="29" t="n">
        <f aca="false">C21*D21</f>
        <v>3000</v>
      </c>
      <c r="F21" s="29" t="n">
        <f aca="false">B21+C21/2</f>
        <v>7.5</v>
      </c>
      <c r="G21" s="29" t="n">
        <f aca="false">E21*F21</f>
        <v>22500</v>
      </c>
      <c r="H21" s="29" t="n">
        <f aca="false">D21*C21^3/12</f>
        <v>56250</v>
      </c>
    </row>
    <row r="22" customFormat="false" ht="15" hidden="false" customHeight="false" outlineLevel="0" collapsed="false">
      <c r="A22" s="28" t="s">
        <v>284</v>
      </c>
      <c r="B22" s="29" t="n">
        <f aca="false">a_ts</f>
        <v>15</v>
      </c>
      <c r="C22" s="29" t="n">
        <f aca="false">a_r</f>
        <v>18</v>
      </c>
      <c r="D22" s="29" t="n">
        <f aca="false">a_tw+a_fw</f>
        <v>16.7256661176919</v>
      </c>
      <c r="E22" s="29" t="n">
        <f aca="false">C22*D22</f>
        <v>301.061990118454</v>
      </c>
      <c r="F22" s="29" t="n">
        <f aca="false">B22+C22/2</f>
        <v>24</v>
      </c>
      <c r="G22" s="29" t="n">
        <f aca="false">E22*F22</f>
        <v>7225.48776284289</v>
      </c>
      <c r="H22" s="29" t="n">
        <f aca="false">D22*C22^3/12</f>
        <v>8128.67373319825</v>
      </c>
    </row>
    <row r="23" customFormat="false" ht="15" hidden="false" customHeight="false" outlineLevel="0" collapsed="false">
      <c r="A23" s="28" t="s">
        <v>285</v>
      </c>
      <c r="B23" s="29" t="n">
        <f aca="false">a_ts+a_r</f>
        <v>33</v>
      </c>
      <c r="C23" s="29" t="n">
        <f aca="false">a_hw-2*a_r</f>
        <v>134</v>
      </c>
      <c r="D23" s="29" t="n">
        <f aca="false">a_tw</f>
        <v>9</v>
      </c>
      <c r="E23" s="29" t="n">
        <f aca="false">C23*D23</f>
        <v>1206</v>
      </c>
      <c r="F23" s="29" t="n">
        <f aca="false">B23+C23/2</f>
        <v>100</v>
      </c>
      <c r="G23" s="29" t="n">
        <f aca="false">E23*F23</f>
        <v>120600</v>
      </c>
      <c r="H23" s="29" t="n">
        <f aca="false">D23*C23^3/12</f>
        <v>1804578</v>
      </c>
    </row>
    <row r="24" customFormat="false" ht="15" hidden="false" customHeight="false" outlineLevel="0" collapsed="false">
      <c r="A24" s="28" t="s">
        <v>286</v>
      </c>
      <c r="B24" s="29" t="n">
        <f aca="false">a_h-a_ti-a_r</f>
        <v>167</v>
      </c>
      <c r="C24" s="29" t="n">
        <f aca="false">a_r</f>
        <v>18</v>
      </c>
      <c r="D24" s="29" t="n">
        <f aca="false">a_tw+a_fw</f>
        <v>16.7256661176919</v>
      </c>
      <c r="E24" s="29" t="n">
        <f aca="false">C24*D24</f>
        <v>301.061990118454</v>
      </c>
      <c r="F24" s="29" t="n">
        <f aca="false">B24+C24/2</f>
        <v>176</v>
      </c>
      <c r="G24" s="29" t="n">
        <f aca="false">E24*F24</f>
        <v>52986.9102608478</v>
      </c>
      <c r="H24" s="29" t="n">
        <f aca="false">D24*C24^3/12</f>
        <v>8128.67373319825</v>
      </c>
    </row>
    <row r="25" customFormat="false" ht="15" hidden="false" customHeight="false" outlineLevel="0" collapsed="false">
      <c r="A25" s="28" t="s">
        <v>287</v>
      </c>
      <c r="B25" s="29" t="n">
        <f aca="false">a_h-a_ti</f>
        <v>185</v>
      </c>
      <c r="C25" s="29" t="n">
        <f aca="false">a_ti</f>
        <v>15</v>
      </c>
      <c r="D25" s="29" t="n">
        <f aca="false">a_bi</f>
        <v>200</v>
      </c>
      <c r="E25" s="29" t="n">
        <f aca="false">C25*D25</f>
        <v>3000</v>
      </c>
      <c r="F25" s="29" t="n">
        <f aca="false">B25+C25/2</f>
        <v>192.5</v>
      </c>
      <c r="G25" s="29" t="n">
        <f aca="false">E25*F25</f>
        <v>577500</v>
      </c>
      <c r="H25" s="29" t="n">
        <f aca="false">D25*C25^3/12</f>
        <v>56250</v>
      </c>
    </row>
    <row r="28" customFormat="false" ht="15" hidden="false" customHeight="false" outlineLevel="0" collapsed="false">
      <c r="A28" s="9" t="s">
        <v>288</v>
      </c>
      <c r="B28" s="10"/>
      <c r="C28" s="10"/>
      <c r="D28" s="10"/>
      <c r="E28" s="10"/>
    </row>
    <row r="29" customFormat="false" ht="15" hidden="false" customHeight="false" outlineLevel="0" collapsed="false">
      <c r="A29" s="11" t="s">
        <v>34</v>
      </c>
      <c r="B29" s="11" t="s">
        <v>35</v>
      </c>
      <c r="C29" s="11" t="s">
        <v>36</v>
      </c>
      <c r="D29" s="11" t="s">
        <v>37</v>
      </c>
      <c r="E29" s="11" t="s">
        <v>38</v>
      </c>
    </row>
    <row r="30" customFormat="false" ht="15" hidden="false" customHeight="true" outlineLevel="0" collapsed="false">
      <c r="A30" s="12" t="s">
        <v>289</v>
      </c>
      <c r="B30" s="13" t="s">
        <v>290</v>
      </c>
      <c r="C30" s="30" t="n">
        <f aca="false">SUM(E21:E25)</f>
        <v>7808.12398023691</v>
      </c>
      <c r="D30" s="15" t="s">
        <v>291</v>
      </c>
      <c r="E30" s="16" t="s">
        <v>292</v>
      </c>
    </row>
    <row r="31" customFormat="false" ht="15" hidden="false" customHeight="true" outlineLevel="0" collapsed="false">
      <c r="A31" s="12" t="s">
        <v>293</v>
      </c>
      <c r="B31" s="13" t="s">
        <v>294</v>
      </c>
      <c r="C31" s="22" t="n">
        <f aca="false">SUM(G21:G25)/a_area</f>
        <v>100</v>
      </c>
      <c r="D31" s="15" t="s">
        <v>63</v>
      </c>
      <c r="E31" s="16" t="s">
        <v>295</v>
      </c>
    </row>
    <row r="32" customFormat="false" ht="25.5" hidden="false" customHeight="true" outlineLevel="0" collapsed="false">
      <c r="A32" s="12" t="s">
        <v>296</v>
      </c>
      <c r="B32" s="13" t="s">
        <v>297</v>
      </c>
      <c r="C32" s="30" t="n">
        <f aca="false">SUM(H21:H25)+SUMPRODUCT(E21:E25,(F21:F25-a_yg)^2)</f>
        <v>56748703.4573148</v>
      </c>
      <c r="D32" s="15" t="s">
        <v>298</v>
      </c>
      <c r="E32" s="16" t="s">
        <v>299</v>
      </c>
    </row>
    <row r="33" customFormat="false" ht="15" hidden="false" customHeight="true" outlineLevel="0" collapsed="false">
      <c r="A33" s="12" t="s">
        <v>300</v>
      </c>
      <c r="B33" s="13" t="s">
        <v>301</v>
      </c>
      <c r="C33" s="31" t="n">
        <f aca="false">a_iy/(a_h-a_yg)</f>
        <v>567487.034573148</v>
      </c>
      <c r="D33" s="15" t="s">
        <v>302</v>
      </c>
      <c r="E33" s="16"/>
    </row>
    <row r="34" customFormat="false" ht="15" hidden="false" customHeight="true" outlineLevel="0" collapsed="false">
      <c r="A34" s="12" t="s">
        <v>303</v>
      </c>
      <c r="B34" s="13" t="s">
        <v>304</v>
      </c>
      <c r="C34" s="31" t="n">
        <f aca="false">a_iy/a_yg</f>
        <v>567487.034573148</v>
      </c>
      <c r="D34" s="15" t="s">
        <v>302</v>
      </c>
      <c r="E34" s="16"/>
    </row>
    <row r="35" customFormat="false" ht="15" hidden="false" customHeight="true" outlineLevel="0" collapsed="false">
      <c r="A35" s="12" t="s">
        <v>305</v>
      </c>
      <c r="B35" s="13"/>
      <c r="C35" s="25" t="n">
        <f aca="false">a_area*78.5/1000000</f>
        <v>0.612937732448597</v>
      </c>
      <c r="D35" s="15" t="s">
        <v>85</v>
      </c>
      <c r="E35" s="16" t="s">
        <v>306</v>
      </c>
    </row>
    <row r="37" customFormat="false" ht="15" hidden="false" customHeight="false" outlineLevel="0" collapsed="false">
      <c r="A37" s="9" t="s">
        <v>307</v>
      </c>
      <c r="B37" s="10"/>
      <c r="C37" s="10"/>
      <c r="D37" s="10"/>
      <c r="E37" s="10"/>
    </row>
    <row r="38" customFormat="false" ht="15" hidden="false" customHeight="false" outlineLevel="0" collapsed="false">
      <c r="A38" s="11" t="s">
        <v>34</v>
      </c>
      <c r="B38" s="11" t="s">
        <v>35</v>
      </c>
      <c r="C38" s="11" t="s">
        <v>36</v>
      </c>
      <c r="D38" s="11" t="s">
        <v>37</v>
      </c>
      <c r="E38" s="11" t="s">
        <v>38</v>
      </c>
    </row>
    <row r="39" customFormat="false" ht="15" hidden="false" customHeight="false" outlineLevel="0" collapsed="false">
      <c r="A39" s="11" t="s">
        <v>275</v>
      </c>
      <c r="B39" s="11" t="s">
        <v>308</v>
      </c>
      <c r="C39" s="11" t="s">
        <v>309</v>
      </c>
      <c r="D39" s="11" t="s">
        <v>310</v>
      </c>
      <c r="E39" s="11" t="s">
        <v>311</v>
      </c>
      <c r="F39" s="11" t="s">
        <v>312</v>
      </c>
      <c r="G39" s="11" t="s">
        <v>313</v>
      </c>
      <c r="H39" s="11" t="s">
        <v>314</v>
      </c>
      <c r="I39" s="11" t="s">
        <v>315</v>
      </c>
      <c r="J39" s="11" t="s">
        <v>316</v>
      </c>
      <c r="K39" s="11" t="s">
        <v>317</v>
      </c>
      <c r="L39" s="11" t="s">
        <v>318</v>
      </c>
      <c r="M39" s="11" t="s">
        <v>319</v>
      </c>
    </row>
    <row r="40" customFormat="false" ht="15" hidden="false" customHeight="false" outlineLevel="0" collapsed="false">
      <c r="A40" s="28" t="str">
        <f aca="false">A21</f>
        <v>Ala superiore</v>
      </c>
      <c r="B40" s="29" t="n">
        <f aca="false">B21</f>
        <v>0</v>
      </c>
      <c r="C40" s="29" t="n">
        <f aca="false">C21</f>
        <v>15</v>
      </c>
      <c r="D40" s="29" t="n">
        <f aca="false">D21</f>
        <v>200</v>
      </c>
      <c r="E40" s="29" t="n">
        <f aca="false">D40*fyd_a</f>
        <v>52380.9523809524</v>
      </c>
      <c r="F40" s="29" t="n">
        <f aca="false">-SUMPRODUCT(D21:D25,C21:C25)*fyd_a</f>
        <v>-2044984.85196681</v>
      </c>
      <c r="G40" s="29" t="n">
        <f aca="false">F40+2*E40*C40</f>
        <v>-473556.280538238</v>
      </c>
      <c r="H40" s="29" t="n">
        <f aca="false">IF(AND(F40&lt;0,G40&gt;=0),1,0)</f>
        <v>0</v>
      </c>
      <c r="I40" s="29" t="n">
        <f aca="false">IFERROR(B40-F40/(2*E40),0)</f>
        <v>19.5203099505923</v>
      </c>
      <c r="J40" s="29" t="n">
        <f aca="false">MAX(0,MIN(B40+C40,a_xpl)-B40)</f>
        <v>15</v>
      </c>
      <c r="K40" s="29" t="n">
        <f aca="false">MAX(0,B40+C40-MAX(B40,a_xpl))</f>
        <v>0</v>
      </c>
      <c r="L40" s="29" t="n">
        <f aca="false">E40*J40*(a_xpl-B40-J40/2)</f>
        <v>72678571.4285714</v>
      </c>
      <c r="M40" s="29" t="n">
        <f aca="false">E40*K40*(MAX(B40,a_xpl)+K40/2-a_xpl)</f>
        <v>0</v>
      </c>
    </row>
    <row r="41" customFormat="false" ht="15" hidden="false" customHeight="false" outlineLevel="0" collapsed="false">
      <c r="A41" s="28" t="str">
        <f aca="false">A22</f>
        <v>Raccordi superiori</v>
      </c>
      <c r="B41" s="29" t="n">
        <f aca="false">B22</f>
        <v>15</v>
      </c>
      <c r="C41" s="29" t="n">
        <f aca="false">C22</f>
        <v>18</v>
      </c>
      <c r="D41" s="29" t="n">
        <f aca="false">D22</f>
        <v>16.7256661176919</v>
      </c>
      <c r="E41" s="29" t="n">
        <f aca="false">D41*fyd_a</f>
        <v>4380.53160225263</v>
      </c>
      <c r="F41" s="29" t="n">
        <f aca="false">G40</f>
        <v>-473556.280538238</v>
      </c>
      <c r="G41" s="29" t="n">
        <f aca="false">F41+2*E41*C41</f>
        <v>-315857.142857143</v>
      </c>
      <c r="H41" s="29" t="n">
        <f aca="false">IF(AND(F41&lt;0,G41&gt;=0),1,0)</f>
        <v>0</v>
      </c>
      <c r="I41" s="29" t="n">
        <f aca="false">IFERROR(B41-F41/(2*E41),0)</f>
        <v>69.0523757772593</v>
      </c>
      <c r="J41" s="29" t="n">
        <f aca="false">MAX(0,MIN(B41+C41,a_xpl)-B41)</f>
        <v>18</v>
      </c>
      <c r="K41" s="29" t="n">
        <f aca="false">MAX(0,B41+C41-MAX(B41,a_xpl))</f>
        <v>0</v>
      </c>
      <c r="L41" s="29" t="n">
        <f aca="false">E41*J41*(a_xpl-B41-J41/2)</f>
        <v>5992567.2318816</v>
      </c>
      <c r="M41" s="29" t="n">
        <f aca="false">E41*K41*(MAX(B41,a_xpl)+K41/2-a_xpl)</f>
        <v>0</v>
      </c>
    </row>
    <row r="42" customFormat="false" ht="15" hidden="false" customHeight="false" outlineLevel="0" collapsed="false">
      <c r="A42" s="28" t="str">
        <f aca="false">A23</f>
        <v>Anima</v>
      </c>
      <c r="B42" s="29" t="n">
        <f aca="false">B23</f>
        <v>33</v>
      </c>
      <c r="C42" s="29" t="n">
        <f aca="false">C23</f>
        <v>134</v>
      </c>
      <c r="D42" s="29" t="n">
        <f aca="false">D23</f>
        <v>9</v>
      </c>
      <c r="E42" s="29" t="n">
        <f aca="false">D42*fyd_a</f>
        <v>2357.14285714286</v>
      </c>
      <c r="F42" s="29" t="n">
        <f aca="false">G41</f>
        <v>-315857.142857143</v>
      </c>
      <c r="G42" s="29" t="n">
        <f aca="false">F42+2*E42*C42</f>
        <v>315857.142857143</v>
      </c>
      <c r="H42" s="29" t="n">
        <f aca="false">IF(AND(F42&lt;0,G42&gt;=0),1,0)</f>
        <v>1</v>
      </c>
      <c r="I42" s="29" t="n">
        <f aca="false">IFERROR(B42-F42/(2*E42),0)</f>
        <v>100</v>
      </c>
      <c r="J42" s="29" t="n">
        <f aca="false">MAX(0,MIN(B42+C42,a_xpl)-B42)</f>
        <v>67</v>
      </c>
      <c r="K42" s="29" t="n">
        <f aca="false">MAX(0,B42+C42-MAX(B42,a_xpl))</f>
        <v>67</v>
      </c>
      <c r="L42" s="29" t="n">
        <f aca="false">E42*J42*(a_xpl-B42-J42/2)</f>
        <v>5290607.14285715</v>
      </c>
      <c r="M42" s="29" t="n">
        <f aca="false">E42*K42*(MAX(B42,a_xpl)+K42/2-a_xpl)</f>
        <v>5290607.14285714</v>
      </c>
    </row>
    <row r="43" customFormat="false" ht="15" hidden="false" customHeight="false" outlineLevel="0" collapsed="false">
      <c r="A43" s="28" t="str">
        <f aca="false">A24</f>
        <v>Raccordi inferiori</v>
      </c>
      <c r="B43" s="29" t="n">
        <f aca="false">B24</f>
        <v>167</v>
      </c>
      <c r="C43" s="29" t="n">
        <f aca="false">C24</f>
        <v>18</v>
      </c>
      <c r="D43" s="29" t="n">
        <f aca="false">D24</f>
        <v>16.7256661176919</v>
      </c>
      <c r="E43" s="29" t="n">
        <f aca="false">D43*fyd_a</f>
        <v>4380.53160225263</v>
      </c>
      <c r="F43" s="29" t="n">
        <f aca="false">G42</f>
        <v>315857.142857143</v>
      </c>
      <c r="G43" s="29" t="n">
        <f aca="false">F43+2*E43*C43</f>
        <v>473556.280538237</v>
      </c>
      <c r="H43" s="29" t="n">
        <f aca="false">IF(AND(F43&lt;0,G43&gt;=0),1,0)</f>
        <v>0</v>
      </c>
      <c r="I43" s="29" t="n">
        <f aca="false">IFERROR(B43-F43/(2*E43),0)</f>
        <v>130.947624222741</v>
      </c>
      <c r="J43" s="29" t="n">
        <f aca="false">MAX(0,MIN(B43+C43,a_xpl)-B43)</f>
        <v>0</v>
      </c>
      <c r="K43" s="29" t="n">
        <f aca="false">MAX(0,B43+C43-MAX(B43,a_xpl))</f>
        <v>18</v>
      </c>
      <c r="L43" s="29" t="n">
        <f aca="false">E43*J43*(a_xpl-B43-J43/2)</f>
        <v>-0</v>
      </c>
      <c r="M43" s="29" t="n">
        <f aca="false">E43*K43*(MAX(B43,a_xpl)+K43/2-a_xpl)</f>
        <v>5992567.2318816</v>
      </c>
    </row>
    <row r="44" customFormat="false" ht="15" hidden="false" customHeight="false" outlineLevel="0" collapsed="false">
      <c r="A44" s="28" t="str">
        <f aca="false">A25</f>
        <v>Ala inferiore</v>
      </c>
      <c r="B44" s="29" t="n">
        <f aca="false">B25</f>
        <v>185</v>
      </c>
      <c r="C44" s="29" t="n">
        <f aca="false">C25</f>
        <v>15</v>
      </c>
      <c r="D44" s="29" t="n">
        <f aca="false">D25</f>
        <v>200</v>
      </c>
      <c r="E44" s="29" t="n">
        <f aca="false">D44*fyd_a</f>
        <v>52380.9523809524</v>
      </c>
      <c r="F44" s="29" t="n">
        <f aca="false">G43</f>
        <v>473556.280538237</v>
      </c>
      <c r="G44" s="29" t="n">
        <f aca="false">F44+2*E44*C44</f>
        <v>2044984.85196681</v>
      </c>
      <c r="H44" s="29" t="n">
        <f aca="false">IF(AND(F44&lt;0,G44&gt;=0),1,0)</f>
        <v>0</v>
      </c>
      <c r="I44" s="29" t="n">
        <f aca="false">IFERROR(B44-F44/(2*E44),0)</f>
        <v>180.479690049408</v>
      </c>
      <c r="J44" s="29" t="n">
        <f aca="false">MAX(0,MIN(B44+C44,a_xpl)-B44)</f>
        <v>0</v>
      </c>
      <c r="K44" s="29" t="n">
        <f aca="false">MAX(0,B44+C44-MAX(B44,a_xpl))</f>
        <v>15</v>
      </c>
      <c r="L44" s="29" t="n">
        <f aca="false">E44*J44*(a_xpl-B44-J44/2)</f>
        <v>-0</v>
      </c>
      <c r="M44" s="29" t="n">
        <f aca="false">E44*K44*(MAX(B44,a_xpl)+K44/2-a_xpl)</f>
        <v>72678571.4285714</v>
      </c>
    </row>
    <row r="47" customFormat="false" ht="15" hidden="false" customHeight="false" outlineLevel="0" collapsed="false">
      <c r="A47" s="9" t="s">
        <v>320</v>
      </c>
      <c r="B47" s="10"/>
      <c r="C47" s="10"/>
      <c r="D47" s="10"/>
      <c r="E47" s="10"/>
    </row>
    <row r="48" customFormat="false" ht="15" hidden="false" customHeight="false" outlineLevel="0" collapsed="false">
      <c r="A48" s="11" t="s">
        <v>34</v>
      </c>
      <c r="B48" s="11" t="s">
        <v>35</v>
      </c>
      <c r="C48" s="11" t="s">
        <v>36</v>
      </c>
      <c r="D48" s="11" t="s">
        <v>37</v>
      </c>
      <c r="E48" s="11" t="s">
        <v>38</v>
      </c>
    </row>
    <row r="49" customFormat="false" ht="15" hidden="false" customHeight="true" outlineLevel="0" collapsed="false">
      <c r="A49" s="12" t="s">
        <v>321</v>
      </c>
      <c r="B49" s="13" t="s">
        <v>322</v>
      </c>
      <c r="C49" s="22" t="n">
        <f aca="false">SUMPRODUCT(H40:H44,I40:I44)</f>
        <v>100</v>
      </c>
      <c r="D49" s="15" t="s">
        <v>63</v>
      </c>
      <c r="E49" s="16" t="s">
        <v>323</v>
      </c>
    </row>
    <row r="50" customFormat="false" ht="15" hidden="false" customHeight="true" outlineLevel="0" collapsed="false">
      <c r="A50" s="12" t="s">
        <v>324</v>
      </c>
      <c r="B50" s="13" t="s">
        <v>325</v>
      </c>
      <c r="C50" s="32" t="n">
        <f aca="false">a_area*fyd_a/1000</f>
        <v>2044.98485196681</v>
      </c>
      <c r="D50" s="15" t="s">
        <v>139</v>
      </c>
      <c r="E50" s="16" t="s">
        <v>326</v>
      </c>
    </row>
    <row r="51" customFormat="false" ht="15" hidden="false" customHeight="true" outlineLevel="0" collapsed="false">
      <c r="A51" s="12" t="s">
        <v>327</v>
      </c>
      <c r="B51" s="13" t="s">
        <v>328</v>
      </c>
      <c r="C51" s="24" t="n">
        <f aca="false">(SUM(L40:L44)+SUM(M40:M44))/1000000</f>
        <v>167.92349160662</v>
      </c>
      <c r="D51" s="15" t="s">
        <v>136</v>
      </c>
      <c r="E51" s="16" t="s">
        <v>329</v>
      </c>
    </row>
    <row r="52" customFormat="false" ht="15" hidden="false" customHeight="true" outlineLevel="0" collapsed="false">
      <c r="A52" s="12" t="s">
        <v>330</v>
      </c>
      <c r="B52" s="13" t="s">
        <v>331</v>
      </c>
      <c r="C52" s="31" t="n">
        <f aca="false">a_mpl*1000000/fyd_a</f>
        <v>641162.422498005</v>
      </c>
      <c r="D52" s="15" t="s">
        <v>302</v>
      </c>
      <c r="E52" s="16" t="s">
        <v>332</v>
      </c>
    </row>
    <row r="53" customFormat="false" ht="15" hidden="false" customHeight="true" outlineLevel="0" collapsed="false">
      <c r="A53" s="12" t="s">
        <v>333</v>
      </c>
      <c r="B53" s="13" t="s">
        <v>334</v>
      </c>
      <c r="C53" s="22" t="n">
        <f aca="false">MIN(a_wi,a_ws)*fyd_a/1000000</f>
        <v>148.62755667392</v>
      </c>
      <c r="D53" s="15" t="s">
        <v>136</v>
      </c>
      <c r="E53" s="16" t="s">
        <v>335</v>
      </c>
    </row>
    <row r="54" customFormat="false" ht="25.5" hidden="false" customHeight="true" outlineLevel="0" collapsed="false">
      <c r="A54" s="12" t="s">
        <v>336</v>
      </c>
      <c r="B54" s="13" t="s">
        <v>337</v>
      </c>
      <c r="C54" s="31" t="n">
        <f aca="false">MAX(a_area-a_bs*a_ts-a_bi*a_ti+(a_tw+2*a_r)*(a_ts+a_ti)/2,a_hw*a_tw)</f>
        <v>2483.12398023691</v>
      </c>
      <c r="D54" s="15" t="s">
        <v>291</v>
      </c>
      <c r="E54" s="16" t="s">
        <v>338</v>
      </c>
    </row>
    <row r="55" customFormat="false" ht="25.5" hidden="false" customHeight="true" outlineLevel="0" collapsed="false">
      <c r="A55" s="12" t="s">
        <v>339</v>
      </c>
      <c r="B55" s="13" t="s">
        <v>340</v>
      </c>
      <c r="C55" s="24" t="n">
        <f aca="false">a_av*fyd_a/SQRT(3)/1000</f>
        <v>375.475125776927</v>
      </c>
      <c r="D55" s="15" t="s">
        <v>139</v>
      </c>
      <c r="E55" s="16" t="s">
        <v>341</v>
      </c>
    </row>
    <row r="56" customFormat="false" ht="15" hidden="false" customHeight="true" outlineLevel="0" collapsed="false">
      <c r="A56" s="12" t="s">
        <v>342</v>
      </c>
      <c r="B56" s="13"/>
      <c r="C56" s="22" t="n">
        <f aca="false">a_hw/a_tw</f>
        <v>18.8888888888889</v>
      </c>
      <c r="D56" s="15" t="s">
        <v>74</v>
      </c>
      <c r="E56" s="16" t="s">
        <v>343</v>
      </c>
    </row>
    <row r="57" customFormat="false" ht="15" hidden="false" customHeight="true" outlineLevel="0" collapsed="false">
      <c r="A57" s="12" t="s">
        <v>344</v>
      </c>
      <c r="B57" s="13"/>
      <c r="C57" s="33" t="str">
        <f aca="false">IF(a_hwt&lt;=72*eps_a,"OK","ATTENZIONE: verificare imbozzamento EN 1993-1-5")</f>
        <v>OK</v>
      </c>
      <c r="D57" s="15"/>
      <c r="E57" s="16"/>
    </row>
    <row r="58" customFormat="false" ht="15" hidden="false" customHeight="true" outlineLevel="0" collapsed="false">
      <c r="A58" s="12" t="s">
        <v>345</v>
      </c>
      <c r="B58" s="13" t="s">
        <v>346</v>
      </c>
      <c r="C58" s="20" t="n">
        <f aca="false">(a_bs-a_tw-2*a_r)/2/a_ts</f>
        <v>5.16666666666667</v>
      </c>
      <c r="D58" s="15" t="s">
        <v>74</v>
      </c>
      <c r="E58" s="16" t="s">
        <v>347</v>
      </c>
    </row>
    <row r="59" customFormat="false" ht="25.5" hidden="false" customHeight="true" outlineLevel="0" collapsed="false">
      <c r="A59" s="12" t="s">
        <v>348</v>
      </c>
      <c r="B59" s="13"/>
      <c r="C59" s="17" t="n">
        <f aca="false">IF(a_cf&lt;=9*eps_a,1,IF(a_cf&lt;=10*eps_a,2,IF(a_cf&lt;=14*eps_a,3,4)))</f>
        <v>1</v>
      </c>
      <c r="D59" s="15" t="s">
        <v>74</v>
      </c>
      <c r="E59" s="16" t="s">
        <v>349</v>
      </c>
    </row>
    <row r="60" customFormat="false" ht="15" hidden="false" customHeight="true" outlineLevel="0" collapsed="false">
      <c r="A60" s="12" t="s">
        <v>350</v>
      </c>
      <c r="B60" s="13"/>
      <c r="C60" s="17" t="n">
        <f aca="false">IF((a_hw-2*a_r)/a_tw&lt;=72*eps_a,1,IF((a_hw-2*a_r)/a_tw&lt;=83*eps_a,2,IF((a_hw-2*a_r)/a_tw&lt;=124*eps_a,3,4)))</f>
        <v>1</v>
      </c>
      <c r="D60" s="15" t="s">
        <v>74</v>
      </c>
      <c r="E60" s="16" t="s">
        <v>351</v>
      </c>
    </row>
  </sheetData>
  <mergeCells count="3">
    <mergeCell ref="A1:E1"/>
    <mergeCell ref="A2:E2"/>
    <mergeCell ref="A3:E3"/>
  </mergeCells>
  <conditionalFormatting sqref="C57">
    <cfRule type="expression" priority="2" aboveAverage="0" equalAverage="0" bottom="0" percent="0" rank="0" text="" dxfId="0">
      <formula>ISNUMBER(SEARCH("NON",C57))</formula>
    </cfRule>
    <cfRule type="expression" priority="3" aboveAverage="0" equalAverage="0" bottom="0" percent="0" rank="0" text="" dxfId="1">
      <formula>ISNUMBER(SEARCH("N.A.",C57))</formula>
    </cfRule>
    <cfRule type="expression" priority="4" aboveAverage="0" equalAverage="0" bottom="0" percent="0" rank="0" text="" dxfId="2">
      <formula>OR(ISNUMBER(SEARCH("VERIFICATA",C57)),C57="OK")</formula>
    </cfRule>
    <cfRule type="expression" priority="5" aboveAverage="0" equalAverage="0" bottom="0" percent="0" rank="0" text="" dxfId="3">
      <formula>ISNUMBER(SEARCH("ATTENZIONE",C57))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95"/>
  </cols>
  <sheetData>
    <row r="1" customFormat="false" ht="25.5" hidden="false" customHeight="true" outlineLevel="0" collapsed="false">
      <c r="A1" s="6" t="s">
        <v>352</v>
      </c>
      <c r="B1" s="6"/>
      <c r="C1" s="6"/>
      <c r="D1" s="6"/>
      <c r="E1" s="6"/>
    </row>
    <row r="2" customFormat="false" ht="42" hidden="false" customHeight="true" outlineLevel="0" collapsed="false">
      <c r="A2" s="7" t="s">
        <v>353</v>
      </c>
      <c r="B2" s="7"/>
      <c r="C2" s="7"/>
      <c r="D2" s="7"/>
      <c r="E2" s="7"/>
    </row>
    <row r="3" customFormat="false" ht="15" hidden="false" customHeight="false" outlineLevel="0" collapsed="false">
      <c r="A3" s="8" t="s">
        <v>32</v>
      </c>
      <c r="B3" s="8"/>
      <c r="C3" s="8"/>
      <c r="D3" s="8"/>
      <c r="E3" s="8"/>
    </row>
    <row r="6" customFormat="false" ht="15" hidden="false" customHeight="false" outlineLevel="0" collapsed="false">
      <c r="A6" s="9" t="s">
        <v>354</v>
      </c>
      <c r="B6" s="10"/>
      <c r="C6" s="10"/>
      <c r="D6" s="10"/>
      <c r="E6" s="10"/>
    </row>
    <row r="7" customFormat="false" ht="15" hidden="false" customHeight="false" outlineLevel="0" collapsed="false">
      <c r="A7" s="11" t="s">
        <v>34</v>
      </c>
      <c r="B7" s="11" t="s">
        <v>35</v>
      </c>
      <c r="C7" s="11" t="s">
        <v>36</v>
      </c>
      <c r="D7" s="11" t="s">
        <v>37</v>
      </c>
      <c r="E7" s="11" t="s">
        <v>38</v>
      </c>
    </row>
    <row r="8" customFormat="false" ht="15" hidden="false" customHeight="true" outlineLevel="0" collapsed="false">
      <c r="A8" s="12" t="s">
        <v>355</v>
      </c>
      <c r="B8" s="13"/>
      <c r="C8" s="14" t="s">
        <v>356</v>
      </c>
      <c r="D8" s="15"/>
      <c r="E8" s="16" t="s">
        <v>357</v>
      </c>
    </row>
    <row r="9" customFormat="false" ht="15" hidden="false" customHeight="true" outlineLevel="0" collapsed="false">
      <c r="A9" s="12" t="s">
        <v>358</v>
      </c>
      <c r="B9" s="13" t="s">
        <v>206</v>
      </c>
      <c r="C9" s="19" t="n">
        <f aca="false">INDEX(tb_clsfck,MATCH(new_cl,tb_cls,0))</f>
        <v>25</v>
      </c>
      <c r="D9" s="15" t="s">
        <v>185</v>
      </c>
      <c r="E9" s="16" t="s">
        <v>186</v>
      </c>
    </row>
    <row r="11" customFormat="false" ht="15" hidden="false" customHeight="false" outlineLevel="0" collapsed="false">
      <c r="A11" s="9" t="s">
        <v>359</v>
      </c>
      <c r="B11" s="10"/>
      <c r="C11" s="10"/>
      <c r="D11" s="10"/>
      <c r="E11" s="10"/>
    </row>
    <row r="12" customFormat="false" ht="15" hidden="false" customHeight="false" outlineLevel="0" collapsed="false">
      <c r="A12" s="11" t="s">
        <v>34</v>
      </c>
      <c r="B12" s="11" t="s">
        <v>35</v>
      </c>
      <c r="C12" s="11" t="s">
        <v>36</v>
      </c>
      <c r="D12" s="11" t="s">
        <v>37</v>
      </c>
      <c r="E12" s="11" t="s">
        <v>38</v>
      </c>
    </row>
    <row r="13" customFormat="false" ht="39" hidden="false" customHeight="true" outlineLevel="0" collapsed="false">
      <c r="A13" s="12" t="s">
        <v>360</v>
      </c>
      <c r="B13" s="13"/>
      <c r="C13" s="14" t="s">
        <v>361</v>
      </c>
      <c r="D13" s="15"/>
      <c r="E13" s="16" t="s">
        <v>362</v>
      </c>
    </row>
    <row r="14" customFormat="false" ht="15" hidden="false" customHeight="true" outlineLevel="0" collapsed="false">
      <c r="A14" s="12" t="s">
        <v>363</v>
      </c>
      <c r="B14" s="13" t="s">
        <v>249</v>
      </c>
      <c r="C14" s="26" t="n">
        <v>120</v>
      </c>
      <c r="D14" s="15" t="s">
        <v>63</v>
      </c>
      <c r="E14" s="16" t="s">
        <v>364</v>
      </c>
    </row>
    <row r="15" customFormat="false" ht="15" hidden="false" customHeight="true" outlineLevel="0" collapsed="false">
      <c r="A15" s="12" t="s">
        <v>365</v>
      </c>
      <c r="B15" s="13" t="s">
        <v>366</v>
      </c>
      <c r="C15" s="26" t="n">
        <v>55</v>
      </c>
      <c r="D15" s="15" t="s">
        <v>63</v>
      </c>
      <c r="E15" s="16" t="s">
        <v>367</v>
      </c>
    </row>
    <row r="16" customFormat="false" ht="25.5" hidden="false" customHeight="true" outlineLevel="0" collapsed="false">
      <c r="A16" s="12" t="s">
        <v>368</v>
      </c>
      <c r="B16" s="13" t="s">
        <v>369</v>
      </c>
      <c r="C16" s="26" t="n">
        <v>150</v>
      </c>
      <c r="D16" s="15" t="s">
        <v>63</v>
      </c>
      <c r="E16" s="16" t="s">
        <v>370</v>
      </c>
    </row>
    <row r="17" customFormat="false" ht="15" hidden="false" customHeight="true" outlineLevel="0" collapsed="false">
      <c r="A17" s="12" t="s">
        <v>371</v>
      </c>
      <c r="B17" s="13" t="s">
        <v>309</v>
      </c>
      <c r="C17" s="18" t="n">
        <v>0.8</v>
      </c>
      <c r="D17" s="15" t="s">
        <v>63</v>
      </c>
      <c r="E17" s="16" t="s">
        <v>372</v>
      </c>
    </row>
    <row r="18" customFormat="false" ht="15" hidden="false" customHeight="true" outlineLevel="0" collapsed="false">
      <c r="A18" s="12" t="s">
        <v>373</v>
      </c>
      <c r="B18" s="13"/>
      <c r="C18" s="14" t="s">
        <v>374</v>
      </c>
      <c r="D18" s="15"/>
      <c r="E18" s="16" t="s">
        <v>375</v>
      </c>
    </row>
    <row r="19" customFormat="false" ht="15" hidden="false" customHeight="true" outlineLevel="0" collapsed="false">
      <c r="A19" s="12" t="s">
        <v>376</v>
      </c>
      <c r="B19" s="13" t="s">
        <v>377</v>
      </c>
      <c r="C19" s="17" t="n">
        <f aca="false">sl_h-dk_hp</f>
        <v>65</v>
      </c>
      <c r="D19" s="15" t="s">
        <v>63</v>
      </c>
      <c r="E19" s="16" t="s">
        <v>378</v>
      </c>
    </row>
    <row r="21" customFormat="false" ht="15" hidden="false" customHeight="false" outlineLevel="0" collapsed="false">
      <c r="A21" s="9" t="s">
        <v>379</v>
      </c>
      <c r="B21" s="10"/>
      <c r="C21" s="10"/>
      <c r="D21" s="10"/>
      <c r="E21" s="10"/>
    </row>
    <row r="22" customFormat="false" ht="15" hidden="false" customHeight="false" outlineLevel="0" collapsed="false">
      <c r="A22" s="11" t="s">
        <v>34</v>
      </c>
      <c r="B22" s="11" t="s">
        <v>35</v>
      </c>
      <c r="C22" s="11" t="s">
        <v>36</v>
      </c>
      <c r="D22" s="11" t="s">
        <v>37</v>
      </c>
      <c r="E22" s="11" t="s">
        <v>38</v>
      </c>
    </row>
    <row r="23" customFormat="false" ht="25.5" hidden="false" customHeight="true" outlineLevel="0" collapsed="false">
      <c r="A23" s="12" t="s">
        <v>380</v>
      </c>
      <c r="B23" s="13" t="s">
        <v>381</v>
      </c>
      <c r="C23" s="26" t="n">
        <v>2000</v>
      </c>
      <c r="D23" s="15" t="s">
        <v>63</v>
      </c>
      <c r="E23" s="16" t="s">
        <v>382</v>
      </c>
    </row>
    <row r="24" customFormat="false" ht="15" hidden="false" customHeight="true" outlineLevel="0" collapsed="false">
      <c r="A24" s="12" t="s">
        <v>383</v>
      </c>
      <c r="B24" s="13" t="s">
        <v>384</v>
      </c>
      <c r="C24" s="26" t="n">
        <v>2000</v>
      </c>
      <c r="D24" s="15" t="s">
        <v>63</v>
      </c>
      <c r="E24" s="16" t="s">
        <v>385</v>
      </c>
    </row>
    <row r="25" customFormat="false" ht="15" hidden="false" customHeight="true" outlineLevel="0" collapsed="false">
      <c r="A25" s="12" t="s">
        <v>386</v>
      </c>
      <c r="B25" s="13" t="s">
        <v>387</v>
      </c>
      <c r="C25" s="19" t="n">
        <f aca="false">(st_nr-1)*st_et</f>
        <v>0</v>
      </c>
      <c r="D25" s="15" t="s">
        <v>63</v>
      </c>
      <c r="E25" s="16" t="s">
        <v>388</v>
      </c>
    </row>
    <row r="26" customFormat="false" ht="15" hidden="false" customHeight="true" outlineLevel="0" collapsed="false">
      <c r="A26" s="12" t="s">
        <v>389</v>
      </c>
      <c r="B26" s="13" t="s">
        <v>390</v>
      </c>
      <c r="C26" s="19" t="n">
        <f aca="false">MAX(0,MIN(lu_mm/8,sl_bl-sl_bz/2))</f>
        <v>750</v>
      </c>
      <c r="D26" s="15" t="s">
        <v>63</v>
      </c>
      <c r="E26" s="16" t="s">
        <v>391</v>
      </c>
    </row>
    <row r="27" customFormat="false" ht="15" hidden="false" customHeight="true" outlineLevel="0" collapsed="false">
      <c r="A27" s="12" t="s">
        <v>392</v>
      </c>
      <c r="B27" s="13" t="s">
        <v>393</v>
      </c>
      <c r="C27" s="19" t="n">
        <f aca="false">MAX(0,MIN(lu_mm/8,sl_br-sl_bz/2))</f>
        <v>750</v>
      </c>
      <c r="D27" s="15" t="s">
        <v>63</v>
      </c>
      <c r="E27" s="16" t="s">
        <v>394</v>
      </c>
    </row>
    <row r="28" customFormat="false" ht="15" hidden="false" customHeight="true" outlineLevel="0" collapsed="false">
      <c r="A28" s="12" t="s">
        <v>395</v>
      </c>
      <c r="B28" s="13" t="s">
        <v>396</v>
      </c>
      <c r="C28" s="17" t="n">
        <f aca="false">sl_bz+sl_be1+sl_be2</f>
        <v>1500</v>
      </c>
      <c r="D28" s="15" t="s">
        <v>63</v>
      </c>
      <c r="E28" s="16" t="s">
        <v>397</v>
      </c>
    </row>
    <row r="30" customFormat="false" ht="15" hidden="false" customHeight="false" outlineLevel="0" collapsed="false">
      <c r="A30" s="9" t="s">
        <v>398</v>
      </c>
      <c r="B30" s="10"/>
      <c r="C30" s="10"/>
      <c r="D30" s="10"/>
      <c r="E30" s="10"/>
    </row>
    <row r="31" customFormat="false" ht="15" hidden="false" customHeight="false" outlineLevel="0" collapsed="false">
      <c r="A31" s="11" t="s">
        <v>34</v>
      </c>
      <c r="B31" s="11" t="s">
        <v>35</v>
      </c>
      <c r="C31" s="11" t="s">
        <v>36</v>
      </c>
      <c r="D31" s="11" t="s">
        <v>37</v>
      </c>
      <c r="E31" s="11" t="s">
        <v>38</v>
      </c>
    </row>
    <row r="32" customFormat="false" ht="39" hidden="false" customHeight="true" outlineLevel="0" collapsed="false">
      <c r="A32" s="12" t="s">
        <v>399</v>
      </c>
      <c r="B32" s="13"/>
      <c r="C32" s="14" t="s">
        <v>374</v>
      </c>
      <c r="D32" s="15"/>
      <c r="E32" s="16" t="s">
        <v>400</v>
      </c>
    </row>
    <row r="34" customFormat="false" ht="15" hidden="false" customHeight="false" outlineLevel="0" collapsed="false">
      <c r="A34" s="9" t="s">
        <v>401</v>
      </c>
      <c r="B34" s="10"/>
      <c r="C34" s="10"/>
      <c r="D34" s="10"/>
      <c r="E34" s="10"/>
    </row>
    <row r="35" customFormat="false" ht="15" hidden="false" customHeight="false" outlineLevel="0" collapsed="false">
      <c r="A35" s="11" t="s">
        <v>34</v>
      </c>
      <c r="B35" s="11" t="s">
        <v>35</v>
      </c>
      <c r="C35" s="11" t="s">
        <v>36</v>
      </c>
      <c r="D35" s="11" t="s">
        <v>37</v>
      </c>
      <c r="E35" s="11" t="s">
        <v>38</v>
      </c>
    </row>
    <row r="36" customFormat="false" ht="39" hidden="false" customHeight="true" outlineLevel="0" collapsed="false">
      <c r="A36" s="12" t="s">
        <v>402</v>
      </c>
      <c r="B36" s="13" t="s">
        <v>403</v>
      </c>
      <c r="C36" s="26" t="n">
        <v>565</v>
      </c>
      <c r="D36" s="15" t="s">
        <v>404</v>
      </c>
      <c r="E36" s="16" t="s">
        <v>405</v>
      </c>
    </row>
    <row r="37" customFormat="false" ht="25.5" hidden="false" customHeight="true" outlineLevel="0" collapsed="false">
      <c r="A37" s="12" t="s">
        <v>406</v>
      </c>
      <c r="B37" s="13" t="s">
        <v>407</v>
      </c>
      <c r="C37" s="18" t="n">
        <v>1</v>
      </c>
      <c r="D37" s="15" t="s">
        <v>74</v>
      </c>
      <c r="E37" s="16" t="s">
        <v>408</v>
      </c>
    </row>
  </sheetData>
  <mergeCells count="3">
    <mergeCell ref="A1:E1"/>
    <mergeCell ref="A2:E2"/>
    <mergeCell ref="A3:E3"/>
  </mergeCells>
  <dataValidations count="5">
    <dataValidation allowBlank="false" error="Scegliere un valore dall'elenco." errorStyle="stop" errorTitle="Valore non ammesso" operator="between" prompt="Classe del calcestruzzo del getto di completamento (NTC Tab. 4.1.I)." promptTitle="Classe cls" showDropDown="false" showErrorMessage="true" showInputMessage="true" sqref="C8" type="list">
      <formula1>"C16/20,C20/25,C25/30,C28/35,C30/37,C32/40,C35/45,C40/50,C45/55,C50/60"</formula1>
      <formula2>0</formula2>
    </dataValidation>
    <dataValidation allowBlank="false" error="Scegliere un valore dall'elenco." errorStyle="stop" errorTitle="Valore non ammesso" operator="between" prompt="Orientamento delle nervature rispetto all'asse della trave." promptTitle="Lamiera" showDropDown="false" showErrorMessage="true" showInputMessage="true" sqref="C13" type="list">
      <formula1>"TRASVERSALE,PARALLELA,SOLETTA PIENA"</formula1>
      <formula2>0</formula2>
    </dataValidation>
    <dataValidation allowBlank="false" error="Scegliere un valore dall'elenco." errorStyle="stop" errorTitle="Valore non ammesso" operator="between" prompt="SI = pioli saldati attraverso la lamiera. NO = lamiera forata e piolo saldato direttamente sull'ala." promptTitle="Saldatura" showDropDown="false" showErrorMessage="true" showInputMessage="true" sqref="C18" type="list">
      <formula1>"SI,NO"</formula1>
      <formula2>0</formula2>
    </dataValidation>
    <dataValidation allowBlank="false" error="Scegliere un valore dall'elenco." errorStyle="stop" errorTitle="Valore non ammesso" operator="between" prompt="L'ala superiore e' vincolata lateralmente dalla lamiera fissata durante il getto?" promptTitle="Vincolo ala" showDropDown="false" showErrorMessage="true" showInputMessage="true" sqref="C32" type="list">
      <formula1>"SI,NO"</formula1>
      <formula2>0</formula2>
    </dataValidation>
    <dataValidation allowBlank="false" error="Valore fuori dal campo ammesso (1 - 2)." errorStyle="stop" operator="between" promptTitle="Valore ammesso" showDropDown="false" showErrorMessage="true" showInputMessage="true" sqref="C37" type="decimal">
      <formula1>1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95"/>
  </cols>
  <sheetData>
    <row r="1" customFormat="false" ht="25.5" hidden="false" customHeight="true" outlineLevel="0" collapsed="false">
      <c r="A1" s="6" t="s">
        <v>409</v>
      </c>
      <c r="B1" s="6"/>
      <c r="C1" s="6"/>
      <c r="D1" s="6"/>
      <c r="E1" s="6"/>
    </row>
    <row r="2" customFormat="false" ht="42" hidden="false" customHeight="true" outlineLevel="0" collapsed="false">
      <c r="A2" s="7" t="s">
        <v>410</v>
      </c>
      <c r="B2" s="7"/>
      <c r="C2" s="7"/>
      <c r="D2" s="7"/>
      <c r="E2" s="7"/>
    </row>
    <row r="3" customFormat="false" ht="15" hidden="false" customHeight="false" outlineLevel="0" collapsed="false">
      <c r="A3" s="8" t="s">
        <v>32</v>
      </c>
      <c r="B3" s="8"/>
      <c r="C3" s="8"/>
      <c r="D3" s="8"/>
      <c r="E3" s="8"/>
    </row>
    <row r="6" customFormat="false" ht="15" hidden="false" customHeight="false" outlineLevel="0" collapsed="false">
      <c r="A6" s="9" t="s">
        <v>411</v>
      </c>
      <c r="B6" s="10"/>
      <c r="C6" s="10"/>
      <c r="D6" s="10"/>
      <c r="E6" s="10"/>
    </row>
    <row r="7" customFormat="false" ht="15" hidden="false" customHeight="false" outlineLevel="0" collapsed="false">
      <c r="A7" s="11" t="s">
        <v>34</v>
      </c>
      <c r="B7" s="11" t="s">
        <v>35</v>
      </c>
      <c r="C7" s="11" t="s">
        <v>36</v>
      </c>
      <c r="D7" s="11" t="s">
        <v>37</v>
      </c>
      <c r="E7" s="11" t="s">
        <v>38</v>
      </c>
    </row>
    <row r="8" customFormat="false" ht="15" hidden="false" customHeight="true" outlineLevel="0" collapsed="false">
      <c r="A8" s="12" t="s">
        <v>412</v>
      </c>
      <c r="B8" s="13" t="s">
        <v>413</v>
      </c>
      <c r="C8" s="26" t="n">
        <v>300</v>
      </c>
      <c r="D8" s="15" t="s">
        <v>63</v>
      </c>
      <c r="E8" s="16" t="s">
        <v>414</v>
      </c>
    </row>
    <row r="9" customFormat="false" ht="25.5" hidden="false" customHeight="true" outlineLevel="0" collapsed="false">
      <c r="A9" s="12" t="s">
        <v>415</v>
      </c>
      <c r="B9" s="13" t="s">
        <v>416</v>
      </c>
      <c r="C9" s="26" t="n">
        <v>500</v>
      </c>
      <c r="D9" s="15" t="s">
        <v>63</v>
      </c>
      <c r="E9" s="16" t="s">
        <v>417</v>
      </c>
    </row>
    <row r="10" customFormat="false" ht="25.5" hidden="false" customHeight="true" outlineLevel="0" collapsed="false">
      <c r="A10" s="12" t="s">
        <v>418</v>
      </c>
      <c r="B10" s="13" t="s">
        <v>419</v>
      </c>
      <c r="C10" s="26" t="n">
        <v>40</v>
      </c>
      <c r="D10" s="15" t="s">
        <v>63</v>
      </c>
      <c r="E10" s="16" t="s">
        <v>420</v>
      </c>
    </row>
    <row r="11" customFormat="false" ht="15" hidden="false" customHeight="true" outlineLevel="0" collapsed="false">
      <c r="A11" s="12" t="s">
        <v>380</v>
      </c>
      <c r="B11" s="13" t="s">
        <v>381</v>
      </c>
      <c r="C11" s="26" t="n">
        <v>2000</v>
      </c>
      <c r="D11" s="15" t="s">
        <v>63</v>
      </c>
      <c r="E11" s="16" t="s">
        <v>421</v>
      </c>
    </row>
    <row r="12" customFormat="false" ht="15" hidden="false" customHeight="true" outlineLevel="0" collapsed="false">
      <c r="A12" s="12" t="s">
        <v>383</v>
      </c>
      <c r="B12" s="13" t="s">
        <v>384</v>
      </c>
      <c r="C12" s="26" t="n">
        <v>2000</v>
      </c>
      <c r="D12" s="15" t="s">
        <v>63</v>
      </c>
      <c r="E12" s="16" t="s">
        <v>422</v>
      </c>
    </row>
    <row r="13" customFormat="false" ht="15" hidden="false" customHeight="true" outlineLevel="0" collapsed="false">
      <c r="A13" s="12" t="s">
        <v>423</v>
      </c>
      <c r="B13" s="13" t="s">
        <v>396</v>
      </c>
      <c r="C13" s="17" t="n">
        <f aca="false">IF(ex_hf&gt;0,MIN(ex_bl+ex_br,ex_bw+MAX(0,MIN(lu_mm/8,ex_bl-ex_bw/2))+MAX(0,MIN(lu_mm/8,ex_br-ex_bw/2))),ex_bw)</f>
        <v>1800</v>
      </c>
      <c r="D13" s="15" t="s">
        <v>63</v>
      </c>
      <c r="E13" s="16" t="s">
        <v>424</v>
      </c>
    </row>
    <row r="14" customFormat="false" ht="25.5" hidden="false" customHeight="true" outlineLevel="0" collapsed="false">
      <c r="A14" s="12" t="s">
        <v>425</v>
      </c>
      <c r="B14" s="13" t="s">
        <v>426</v>
      </c>
      <c r="C14" s="26" t="n">
        <v>10</v>
      </c>
      <c r="D14" s="15" t="s">
        <v>63</v>
      </c>
      <c r="E14" s="16" t="s">
        <v>427</v>
      </c>
    </row>
    <row r="15" customFormat="false" ht="15" hidden="false" customHeight="true" outlineLevel="0" collapsed="false">
      <c r="A15" s="12" t="s">
        <v>428</v>
      </c>
      <c r="B15" s="13"/>
      <c r="C15" s="14" t="s">
        <v>374</v>
      </c>
      <c r="D15" s="15"/>
      <c r="E15" s="16" t="s">
        <v>429</v>
      </c>
    </row>
    <row r="17" customFormat="false" ht="15" hidden="false" customHeight="false" outlineLevel="0" collapsed="false">
      <c r="A17" s="9" t="s">
        <v>430</v>
      </c>
      <c r="B17" s="10"/>
      <c r="C17" s="10"/>
      <c r="D17" s="10"/>
      <c r="E17" s="10"/>
    </row>
    <row r="18" customFormat="false" ht="15" hidden="false" customHeight="false" outlineLevel="0" collapsed="false">
      <c r="A18" s="11" t="s">
        <v>34</v>
      </c>
      <c r="B18" s="11" t="s">
        <v>35</v>
      </c>
      <c r="C18" s="11" t="s">
        <v>36</v>
      </c>
      <c r="D18" s="11" t="s">
        <v>37</v>
      </c>
      <c r="E18" s="11" t="s">
        <v>38</v>
      </c>
    </row>
    <row r="19" customFormat="false" ht="25.5" hidden="false" customHeight="true" outlineLevel="0" collapsed="false">
      <c r="A19" s="12" t="s">
        <v>431</v>
      </c>
      <c r="B19" s="13" t="s">
        <v>432</v>
      </c>
      <c r="C19" s="23" t="n">
        <v>20</v>
      </c>
      <c r="D19" s="15" t="s">
        <v>185</v>
      </c>
      <c r="E19" s="16" t="s">
        <v>433</v>
      </c>
    </row>
    <row r="20" customFormat="false" ht="15" hidden="false" customHeight="true" outlineLevel="0" collapsed="false">
      <c r="A20" s="12" t="s">
        <v>434</v>
      </c>
      <c r="B20" s="13" t="s">
        <v>435</v>
      </c>
      <c r="C20" s="14" t="s">
        <v>436</v>
      </c>
      <c r="D20" s="15"/>
      <c r="E20" s="16" t="s">
        <v>437</v>
      </c>
    </row>
    <row r="21" customFormat="false" ht="15" hidden="false" customHeight="true" outlineLevel="0" collapsed="false">
      <c r="A21" s="12" t="s">
        <v>438</v>
      </c>
      <c r="B21" s="13" t="s">
        <v>439</v>
      </c>
      <c r="C21" s="20" t="n">
        <f aca="false">INDEX(tb_fc,MATCH(ex_lc,tb_lc,0))</f>
        <v>1.2</v>
      </c>
      <c r="D21" s="15" t="s">
        <v>74</v>
      </c>
      <c r="E21" s="16" t="s">
        <v>186</v>
      </c>
    </row>
    <row r="22" customFormat="false" ht="15" hidden="false" customHeight="true" outlineLevel="0" collapsed="false">
      <c r="A22" s="12" t="s">
        <v>440</v>
      </c>
      <c r="B22" s="13" t="s">
        <v>441</v>
      </c>
      <c r="C22" s="21" t="n">
        <f aca="false">ex_fcm/ex_fc</f>
        <v>16.6666666666667</v>
      </c>
      <c r="D22" s="15" t="s">
        <v>185</v>
      </c>
      <c r="E22" s="16" t="s">
        <v>442</v>
      </c>
    </row>
    <row r="23" customFormat="false" ht="25.5" hidden="false" customHeight="true" outlineLevel="0" collapsed="false">
      <c r="A23" s="12" t="s">
        <v>443</v>
      </c>
      <c r="B23" s="13"/>
      <c r="C23" s="14" t="s">
        <v>374</v>
      </c>
      <c r="D23" s="15"/>
      <c r="E23" s="16" t="s">
        <v>444</v>
      </c>
    </row>
    <row r="24" customFormat="false" ht="64.5" hidden="false" customHeight="true" outlineLevel="0" collapsed="false">
      <c r="A24" s="12" t="s">
        <v>445</v>
      </c>
      <c r="B24" s="13"/>
      <c r="C24" s="14" t="s">
        <v>446</v>
      </c>
      <c r="D24" s="15"/>
      <c r="E24" s="16" t="s">
        <v>447</v>
      </c>
    </row>
    <row r="25" customFormat="false" ht="15" hidden="false" customHeight="true" outlineLevel="0" collapsed="false">
      <c r="A25" s="12" t="s">
        <v>448</v>
      </c>
      <c r="B25" s="13"/>
      <c r="C25" s="33" t="str">
        <f aca="false">IF(a_bs&lt;=ex_bw,"OK","ATTENZIONE: ala del profilo piu' larga della trave esistente")</f>
        <v>OK</v>
      </c>
      <c r="D25" s="15"/>
      <c r="E25" s="16" t="s">
        <v>449</v>
      </c>
    </row>
    <row r="26" customFormat="false" ht="30" hidden="false" customHeight="true" outlineLevel="0" collapsed="false">
      <c r="A26" s="34" t="s">
        <v>450</v>
      </c>
      <c r="B26" s="34"/>
      <c r="C26" s="34"/>
      <c r="D26" s="34"/>
      <c r="E26" s="34"/>
    </row>
  </sheetData>
  <mergeCells count="4">
    <mergeCell ref="A1:E1"/>
    <mergeCell ref="A2:E2"/>
    <mergeCell ref="A3:E3"/>
    <mergeCell ref="A26:E26"/>
  </mergeCells>
  <conditionalFormatting sqref="C25">
    <cfRule type="expression" priority="2" aboveAverage="0" equalAverage="0" bottom="0" percent="0" rank="0" text="" dxfId="0">
      <formula>ISNUMBER(SEARCH("NON",C25))</formula>
    </cfRule>
    <cfRule type="expression" priority="3" aboveAverage="0" equalAverage="0" bottom="0" percent="0" rank="0" text="" dxfId="1">
      <formula>ISNUMBER(SEARCH("N.A.",C25))</formula>
    </cfRule>
    <cfRule type="expression" priority="4" aboveAverage="0" equalAverage="0" bottom="0" percent="0" rank="0" text="" dxfId="2">
      <formula>OR(ISNUMBER(SEARCH("VERIFICATA",C25)),C25="OK")</formula>
    </cfRule>
    <cfRule type="expression" priority="5" aboveAverage="0" equalAverage="0" bottom="0" percent="0" rank="0" text="" dxfId="3">
      <formula>ISNUMBER(SEARCH("ATTENZIONE",C25))</formula>
    </cfRule>
  </conditionalFormatting>
  <dataValidations count="4">
    <dataValidation allowBlank="false" error="Scegliere un valore dall'elenco." errorStyle="stop" errorTitle="Valore non ammesso" operator="between" prompt="Malta/resina di allettamento con resistenza a compressione &gt;= 30 MPa?" promptTitle="Malta" showDropDown="false" showErrorMessage="true" showInputMessage="true" sqref="C15" type="list">
      <formula1>"SI,NO"</formula1>
      <formula2>0</formula2>
    </dataValidation>
    <dataValidation allowBlank="false" error="Scegliere un valore dall'elenco." errorStyle="stop" errorTitle="Valore non ammesso" operator="between" prompt="LC1 FC=1,35; LC2 FC=1,20; LC3 FC=1,00" promptTitle="Livello conoscenza" showDropDown="false" showErrorMessage="true" showInputMessage="true" sqref="C20" type="list">
      <formula1>"LC1,LC2,LC3"</formula1>
      <formula2>0</formula2>
    </dataValidation>
    <dataValidation allowBlank="false" error="Scegliere un valore dall'elenco." errorStyle="stop" errorTitle="Valore non ammesso" operator="between" prompt="I carichi G2 sono gia' presenti prima del rinforzo?" promptTitle="G2 esistenti" showDropDown="false" showErrorMessage="true" showInputMessage="true" sqref="C23" type="list">
      <formula1>"SI,NO"</formula1>
      <formula2>0</formula2>
    </dataValidation>
    <dataValidation allowBlank="false" error="Scegliere un valore dall'elenco." errorStyle="stop" errorTitle="Valore non ammesso" operator="between" prompt="SOLO SUCCESSIVI = trave non scaricata. TUTTI = trave puntellata/martinettata prima del collegamento." promptTitle="Carichi su composta" showDropDown="false" showErrorMessage="true" showInputMessage="true" sqref="C24" type="list">
      <formula1>"SOLO SUCCESSIVI,TUTTI"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95"/>
    <col collapsed="false" customWidth="true" hidden="false" outlineLevel="0" max="17" min="6" style="0" width="14"/>
  </cols>
  <sheetData>
    <row r="1" customFormat="false" ht="25.5" hidden="false" customHeight="true" outlineLevel="0" collapsed="false">
      <c r="A1" s="6" t="s">
        <v>451</v>
      </c>
      <c r="B1" s="6"/>
      <c r="C1" s="6"/>
      <c r="D1" s="6"/>
      <c r="E1" s="6"/>
    </row>
    <row r="2" customFormat="false" ht="42" hidden="false" customHeight="true" outlineLevel="0" collapsed="false">
      <c r="A2" s="7" t="s">
        <v>452</v>
      </c>
      <c r="B2" s="7"/>
      <c r="C2" s="7"/>
      <c r="D2" s="7"/>
      <c r="E2" s="7"/>
    </row>
    <row r="3" customFormat="false" ht="15" hidden="false" customHeight="false" outlineLevel="0" collapsed="false">
      <c r="A3" s="8" t="s">
        <v>32</v>
      </c>
      <c r="B3" s="8"/>
      <c r="C3" s="8"/>
      <c r="D3" s="8"/>
      <c r="E3" s="8"/>
    </row>
    <row r="6" customFormat="false" ht="15" hidden="false" customHeight="false" outlineLevel="0" collapsed="false">
      <c r="A6" s="9" t="s">
        <v>453</v>
      </c>
      <c r="B6" s="10"/>
      <c r="C6" s="10"/>
      <c r="D6" s="10"/>
      <c r="E6" s="10"/>
    </row>
    <row r="7" customFormat="false" ht="15" hidden="false" customHeight="false" outlineLevel="0" collapsed="false">
      <c r="A7" s="11" t="s">
        <v>34</v>
      </c>
      <c r="B7" s="11" t="s">
        <v>35</v>
      </c>
      <c r="C7" s="11" t="s">
        <v>36</v>
      </c>
      <c r="D7" s="11" t="s">
        <v>37</v>
      </c>
      <c r="E7" s="11" t="s">
        <v>38</v>
      </c>
    </row>
    <row r="8" customFormat="false" ht="15" hidden="false" customHeight="true" outlineLevel="0" collapsed="false">
      <c r="A8" s="12" t="s">
        <v>454</v>
      </c>
      <c r="B8" s="13" t="s">
        <v>381</v>
      </c>
      <c r="C8" s="19" t="n">
        <f aca="false">IF(sc_n=1,sl_beff,ex_beff)</f>
        <v>1800</v>
      </c>
      <c r="D8" s="15" t="s">
        <v>63</v>
      </c>
      <c r="E8" s="16" t="s">
        <v>455</v>
      </c>
    </row>
    <row r="9" customFormat="false" ht="15" hidden="false" customHeight="true" outlineLevel="0" collapsed="false">
      <c r="A9" s="12" t="s">
        <v>456</v>
      </c>
      <c r="B9" s="13" t="s">
        <v>457</v>
      </c>
      <c r="C9" s="19" t="n">
        <f aca="false">IF(sc_n=1,sl_hc,ex_hf)</f>
        <v>40</v>
      </c>
      <c r="D9" s="15" t="s">
        <v>63</v>
      </c>
      <c r="E9" s="16" t="s">
        <v>458</v>
      </c>
    </row>
    <row r="10" customFormat="false" ht="15" hidden="false" customHeight="true" outlineLevel="0" collapsed="false">
      <c r="A10" s="12" t="s">
        <v>459</v>
      </c>
      <c r="B10" s="13" t="s">
        <v>384</v>
      </c>
      <c r="C10" s="19" t="n">
        <f aca="false">IF(sc_n=1,0,ex_bw)</f>
        <v>300</v>
      </c>
      <c r="D10" s="15" t="s">
        <v>63</v>
      </c>
      <c r="E10" s="16" t="s">
        <v>460</v>
      </c>
    </row>
    <row r="11" customFormat="false" ht="15" hidden="false" customHeight="true" outlineLevel="0" collapsed="false">
      <c r="A11" s="12" t="s">
        <v>461</v>
      </c>
      <c r="B11" s="13" t="s">
        <v>462</v>
      </c>
      <c r="C11" s="19" t="n">
        <f aca="false">IF(sc_n=1,dk_hp,ex_h-ex_hf)</f>
        <v>460</v>
      </c>
      <c r="D11" s="15" t="s">
        <v>63</v>
      </c>
      <c r="E11" s="16" t="s">
        <v>463</v>
      </c>
    </row>
    <row r="12" customFormat="false" ht="15" hidden="false" customHeight="true" outlineLevel="0" collapsed="false">
      <c r="A12" s="12" t="s">
        <v>464</v>
      </c>
      <c r="B12" s="13" t="s">
        <v>426</v>
      </c>
      <c r="C12" s="19" t="n">
        <f aca="false">IF(sc_n=1,0,ex_gap)</f>
        <v>10</v>
      </c>
      <c r="D12" s="15" t="s">
        <v>63</v>
      </c>
      <c r="E12" s="16"/>
    </row>
    <row r="13" customFormat="false" ht="15" hidden="false" customHeight="true" outlineLevel="0" collapsed="false">
      <c r="A13" s="12" t="s">
        <v>465</v>
      </c>
      <c r="B13" s="13" t="s">
        <v>466</v>
      </c>
      <c r="C13" s="22" t="n">
        <f aca="false">cs_tone+cs_ttwo+cs_gap</f>
        <v>510</v>
      </c>
      <c r="D13" s="15" t="s">
        <v>63</v>
      </c>
      <c r="E13" s="16" t="s">
        <v>467</v>
      </c>
    </row>
    <row r="14" customFormat="false" ht="15" hidden="false" customHeight="true" outlineLevel="0" collapsed="false">
      <c r="A14" s="12" t="s">
        <v>468</v>
      </c>
      <c r="B14" s="13" t="s">
        <v>469</v>
      </c>
      <c r="C14" s="22" t="n">
        <f aca="false">cs_yst+a_h</f>
        <v>710</v>
      </c>
      <c r="D14" s="15" t="s">
        <v>63</v>
      </c>
      <c r="E14" s="16"/>
    </row>
    <row r="16" customFormat="false" ht="15" hidden="false" customHeight="false" outlineLevel="0" collapsed="false">
      <c r="A16" s="9" t="s">
        <v>470</v>
      </c>
      <c r="B16" s="10"/>
      <c r="C16" s="10"/>
      <c r="D16" s="10"/>
      <c r="E16" s="10"/>
    </row>
    <row r="17" customFormat="false" ht="15" hidden="false" customHeight="false" outlineLevel="0" collapsed="false">
      <c r="A17" s="11" t="s">
        <v>34</v>
      </c>
      <c r="B17" s="11" t="s">
        <v>35</v>
      </c>
      <c r="C17" s="11" t="s">
        <v>36</v>
      </c>
      <c r="D17" s="11" t="s">
        <v>37</v>
      </c>
      <c r="E17" s="11" t="s">
        <v>38</v>
      </c>
    </row>
    <row r="18" customFormat="false" ht="15" hidden="false" customHeight="false" outlineLevel="0" collapsed="false">
      <c r="A18" s="11" t="s">
        <v>275</v>
      </c>
      <c r="B18" s="11" t="s">
        <v>308</v>
      </c>
      <c r="C18" s="11" t="s">
        <v>309</v>
      </c>
      <c r="D18" s="11" t="s">
        <v>310</v>
      </c>
      <c r="E18" s="11" t="s">
        <v>471</v>
      </c>
      <c r="F18" s="11" t="s">
        <v>472</v>
      </c>
      <c r="G18" s="11" t="s">
        <v>473</v>
      </c>
      <c r="H18" s="11" t="s">
        <v>474</v>
      </c>
      <c r="I18" s="11" t="s">
        <v>312</v>
      </c>
      <c r="J18" s="11" t="s">
        <v>313</v>
      </c>
      <c r="K18" s="11" t="s">
        <v>314</v>
      </c>
      <c r="L18" s="11" t="s">
        <v>475</v>
      </c>
      <c r="M18" s="11" t="s">
        <v>476</v>
      </c>
      <c r="N18" s="11" t="s">
        <v>477</v>
      </c>
      <c r="O18" s="11" t="s">
        <v>318</v>
      </c>
      <c r="P18" s="11" t="s">
        <v>319</v>
      </c>
      <c r="Q18" s="11" t="s">
        <v>478</v>
      </c>
    </row>
    <row r="19" customFormat="false" ht="15" hidden="false" customHeight="false" outlineLevel="0" collapsed="false">
      <c r="A19" s="28" t="s">
        <v>479</v>
      </c>
      <c r="B19" s="29" t="n">
        <f aca="false">0</f>
        <v>0</v>
      </c>
      <c r="C19" s="29" t="n">
        <f aca="false">cs_tone</f>
        <v>40</v>
      </c>
      <c r="D19" s="29" t="n">
        <f aca="false">cs_bone</f>
        <v>1800</v>
      </c>
      <c r="E19" s="29" t="n">
        <f aca="false">fcd_c</f>
        <v>9.44444444444445</v>
      </c>
      <c r="F19" s="29" t="n">
        <v>1</v>
      </c>
      <c r="G19" s="29" t="n">
        <v>0</v>
      </c>
      <c r="H19" s="29" t="n">
        <f aca="false">D19*E19</f>
        <v>17000</v>
      </c>
      <c r="I19" s="29" t="n">
        <f aca="false">-SUMPRODUCT(G19:G26,H19:H26,C19:C26)</f>
        <v>-2044984.85196681</v>
      </c>
      <c r="J19" s="29" t="n">
        <f aca="false">I19+F19*H19*C19</f>
        <v>-1364984.85196681</v>
      </c>
      <c r="K19" s="29" t="n">
        <f aca="false">IF(AND(I19&lt;0,J19&gt;=0),1,0)</f>
        <v>0</v>
      </c>
      <c r="L19" s="29" t="n">
        <f aca="false">IFERROR(B19-I19/(F19*H19),0)</f>
        <v>120.293226586283</v>
      </c>
      <c r="M19" s="29" t="n">
        <f aca="false">MAX(0,MIN(B19+C19,cs_xpl)-B19)</f>
        <v>40</v>
      </c>
      <c r="N19" s="29" t="n">
        <f aca="false">G19*MAX(0,B19+C19-MAX(B19,cs_xpl))</f>
        <v>0</v>
      </c>
      <c r="O19" s="29" t="n">
        <f aca="false">H19*M19*(cs_xpl-B19-M19/2)</f>
        <v>333600174.402766</v>
      </c>
      <c r="P19" s="29" t="n">
        <f aca="false">H19*N19*(MAX(B19,cs_xpl)+N19/2-cs_xpl)</f>
        <v>0</v>
      </c>
      <c r="Q19" s="29" t="n">
        <f aca="false">(1-G19)*H19*M19</f>
        <v>680000</v>
      </c>
    </row>
    <row r="20" customFormat="false" ht="15" hidden="false" customHeight="false" outlineLevel="0" collapsed="false">
      <c r="A20" s="28" t="s">
        <v>480</v>
      </c>
      <c r="B20" s="29" t="n">
        <f aca="false">cs_tone</f>
        <v>40</v>
      </c>
      <c r="C20" s="29" t="n">
        <f aca="false">cs_ttwo</f>
        <v>460</v>
      </c>
      <c r="D20" s="29" t="n">
        <f aca="false">cs_btwo</f>
        <v>300</v>
      </c>
      <c r="E20" s="29" t="n">
        <f aca="false">fcd_c</f>
        <v>9.44444444444445</v>
      </c>
      <c r="F20" s="29" t="n">
        <v>1</v>
      </c>
      <c r="G20" s="29" t="n">
        <v>0</v>
      </c>
      <c r="H20" s="29" t="n">
        <f aca="false">D20*E20</f>
        <v>2833.33333333333</v>
      </c>
      <c r="I20" s="29" t="n">
        <f aca="false">J19</f>
        <v>-1364984.85196681</v>
      </c>
      <c r="J20" s="29" t="n">
        <f aca="false">I20+F20*H20*C20</f>
        <v>-61651.5186334751</v>
      </c>
      <c r="K20" s="29" t="n">
        <f aca="false">IF(AND(I20&lt;0,J20&gt;=0),1,0)</f>
        <v>0</v>
      </c>
      <c r="L20" s="29" t="n">
        <f aca="false">IFERROR(B20-I20/(F20*H20),0)</f>
        <v>521.759359517697</v>
      </c>
      <c r="M20" s="29" t="n">
        <f aca="false">MAX(0,MIN(B20+C20,cs_xpl)-B20)</f>
        <v>460</v>
      </c>
      <c r="N20" s="29" t="n">
        <f aca="false">G20*MAX(0,B20+C20-MAX(B20,cs_xpl))</f>
        <v>0</v>
      </c>
      <c r="O20" s="29" t="n">
        <f aca="false">H20*M20*(cs_xpl-B20-M20/2)</f>
        <v>313567000.938636</v>
      </c>
      <c r="P20" s="29" t="n">
        <f aca="false">H20*N20*(MAX(B20,cs_xpl)+N20/2-cs_xpl)</f>
        <v>0</v>
      </c>
      <c r="Q20" s="29" t="n">
        <f aca="false">(1-G20)*H20*M20</f>
        <v>1303333.33333333</v>
      </c>
    </row>
    <row r="21" customFormat="false" ht="15" hidden="false" customHeight="false" outlineLevel="0" collapsed="false">
      <c r="A21" s="28" t="s">
        <v>481</v>
      </c>
      <c r="B21" s="29" t="n">
        <f aca="false">cs_tone+cs_ttwo</f>
        <v>500</v>
      </c>
      <c r="C21" s="29" t="n">
        <f aca="false">cs_gap</f>
        <v>10</v>
      </c>
      <c r="D21" s="29" t="n">
        <f aca="false">0</f>
        <v>0</v>
      </c>
      <c r="E21" s="29" t="n">
        <f aca="false">0</f>
        <v>0</v>
      </c>
      <c r="F21" s="29" t="n">
        <v>1</v>
      </c>
      <c r="G21" s="29" t="n">
        <v>0</v>
      </c>
      <c r="H21" s="29" t="n">
        <f aca="false">D21*E21</f>
        <v>0</v>
      </c>
      <c r="I21" s="29" t="n">
        <f aca="false">J20</f>
        <v>-61651.5186334751</v>
      </c>
      <c r="J21" s="29" t="n">
        <f aca="false">I21+F21*H21*C21</f>
        <v>-61651.5186334751</v>
      </c>
      <c r="K21" s="29" t="n">
        <f aca="false">IF(AND(I21&lt;0,J21&gt;=0),1,0)</f>
        <v>0</v>
      </c>
      <c r="L21" s="29" t="n">
        <f aca="false">IFERROR(B21-I21/(F21*H21),0)</f>
        <v>0</v>
      </c>
      <c r="M21" s="29" t="n">
        <f aca="false">MAX(0,MIN(B21+C21,cs_xpl)-B21)</f>
        <v>10</v>
      </c>
      <c r="N21" s="29" t="n">
        <f aca="false">G21*MAX(0,B21+C21-MAX(B21,cs_xpl))</f>
        <v>0</v>
      </c>
      <c r="O21" s="29" t="n">
        <f aca="false">H21*M21*(cs_xpl-B21-M21/2)</f>
        <v>0</v>
      </c>
      <c r="P21" s="29" t="n">
        <f aca="false">H21*N21*(MAX(B21,cs_xpl)+N21/2-cs_xpl)</f>
        <v>0</v>
      </c>
      <c r="Q21" s="29" t="n">
        <f aca="false">(1-G21)*H21*M21</f>
        <v>0</v>
      </c>
    </row>
    <row r="22" customFormat="false" ht="15" hidden="false" customHeight="false" outlineLevel="0" collapsed="false">
      <c r="A22" s="28" t="s">
        <v>482</v>
      </c>
      <c r="B22" s="29" t="n">
        <f aca="false">cs_yst+0</f>
        <v>510</v>
      </c>
      <c r="C22" s="29" t="n">
        <f aca="false">a_ts</f>
        <v>15</v>
      </c>
      <c r="D22" s="29" t="n">
        <f aca="false">a_bs</f>
        <v>200</v>
      </c>
      <c r="E22" s="29" t="n">
        <f aca="false">fyd_a</f>
        <v>261.904761904762</v>
      </c>
      <c r="F22" s="29" t="n">
        <v>2</v>
      </c>
      <c r="G22" s="29" t="n">
        <v>1</v>
      </c>
      <c r="H22" s="29" t="n">
        <f aca="false">D22*E22</f>
        <v>52380.9523809524</v>
      </c>
      <c r="I22" s="29" t="n">
        <f aca="false">J21</f>
        <v>-61651.5186334751</v>
      </c>
      <c r="J22" s="29" t="n">
        <f aca="false">I22+F22*H22*C22</f>
        <v>1509777.0527951</v>
      </c>
      <c r="K22" s="29" t="n">
        <f aca="false">IF(AND(I22&lt;0,J22&gt;=0),1,0)</f>
        <v>1</v>
      </c>
      <c r="L22" s="29" t="n">
        <f aca="false">IFERROR(B22-I22/(F22*H22),0)</f>
        <v>510.588491768774</v>
      </c>
      <c r="M22" s="29" t="n">
        <f aca="false">MAX(0,MIN(B22+C22,cs_xpl)-B22)</f>
        <v>0.588491768774077</v>
      </c>
      <c r="N22" s="29" t="n">
        <f aca="false">G22*MAX(0,B22+C22-MAX(B22,cs_xpl))</f>
        <v>14.4115082312259</v>
      </c>
      <c r="O22" s="29" t="n">
        <f aca="false">H22*M22*(cs_xpl-B22-M22/2)</f>
        <v>9070.35281205537</v>
      </c>
      <c r="P22" s="29" t="n">
        <f aca="false">H22*N22*(MAX(B22,cs_xpl)+N22/2-cs_xpl)</f>
        <v>5439541.10591812</v>
      </c>
      <c r="Q22" s="29" t="n">
        <f aca="false">(1-G22)*H22*M22</f>
        <v>0</v>
      </c>
    </row>
    <row r="23" customFormat="false" ht="15" hidden="false" customHeight="false" outlineLevel="0" collapsed="false">
      <c r="A23" s="28" t="s">
        <v>483</v>
      </c>
      <c r="B23" s="29" t="n">
        <f aca="false">cs_yst+a_ts</f>
        <v>525</v>
      </c>
      <c r="C23" s="29" t="n">
        <f aca="false">a_r</f>
        <v>18</v>
      </c>
      <c r="D23" s="29" t="n">
        <f aca="false">a_tw+a_fw</f>
        <v>16.7256661176919</v>
      </c>
      <c r="E23" s="29" t="n">
        <f aca="false">fyd_a</f>
        <v>261.904761904762</v>
      </c>
      <c r="F23" s="29" t="n">
        <v>2</v>
      </c>
      <c r="G23" s="29" t="n">
        <v>1</v>
      </c>
      <c r="H23" s="29" t="n">
        <f aca="false">D23*E23</f>
        <v>4380.53160225263</v>
      </c>
      <c r="I23" s="29" t="n">
        <f aca="false">J22</f>
        <v>1509777.0527951</v>
      </c>
      <c r="J23" s="29" t="n">
        <f aca="false">I23+F23*H23*C23</f>
        <v>1667476.19047619</v>
      </c>
      <c r="K23" s="29" t="n">
        <f aca="false">IF(AND(I23&lt;0,J23&gt;=0),1,0)</f>
        <v>0</v>
      </c>
      <c r="L23" s="29" t="n">
        <f aca="false">IFERROR(B23-I23/(F23*H23),0)</f>
        <v>352.671936892464</v>
      </c>
      <c r="M23" s="29" t="n">
        <f aca="false">MAX(0,MIN(B23+C23,cs_xpl)-B23)</f>
        <v>0</v>
      </c>
      <c r="N23" s="29" t="n">
        <f aca="false">G23*MAX(0,B23+C23-MAX(B23,cs_xpl))</f>
        <v>18</v>
      </c>
      <c r="O23" s="29" t="n">
        <f aca="false">H23*M23*(cs_xpl-B23-M23/2)</f>
        <v>-0</v>
      </c>
      <c r="P23" s="29" t="n">
        <f aca="false">H23*N23*(MAX(B23,cs_xpl)+N23/2-cs_xpl)</f>
        <v>1845987.32993909</v>
      </c>
      <c r="Q23" s="29" t="n">
        <f aca="false">(1-G23)*H23*M23</f>
        <v>0</v>
      </c>
    </row>
    <row r="24" customFormat="false" ht="15" hidden="false" customHeight="false" outlineLevel="0" collapsed="false">
      <c r="A24" s="28" t="s">
        <v>484</v>
      </c>
      <c r="B24" s="29" t="n">
        <f aca="false">cs_yst+a_ts+a_r</f>
        <v>543</v>
      </c>
      <c r="C24" s="29" t="n">
        <f aca="false">a_hw-2*a_r</f>
        <v>134</v>
      </c>
      <c r="D24" s="29" t="n">
        <f aca="false">a_tw</f>
        <v>9</v>
      </c>
      <c r="E24" s="29" t="n">
        <f aca="false">fyd_a</f>
        <v>261.904761904762</v>
      </c>
      <c r="F24" s="29" t="n">
        <v>2</v>
      </c>
      <c r="G24" s="29" t="n">
        <v>1</v>
      </c>
      <c r="H24" s="29" t="n">
        <f aca="false">D24*E24</f>
        <v>2357.14285714286</v>
      </c>
      <c r="I24" s="29" t="n">
        <f aca="false">J23</f>
        <v>1667476.19047619</v>
      </c>
      <c r="J24" s="29" t="n">
        <f aca="false">I24+F24*H24*C24</f>
        <v>2299190.47619048</v>
      </c>
      <c r="K24" s="29" t="n">
        <f aca="false">IF(AND(I24&lt;0,J24&gt;=0),1,0)</f>
        <v>0</v>
      </c>
      <c r="L24" s="29" t="n">
        <f aca="false">IFERROR(B24-I24/(F24*H24),0)</f>
        <v>189.292929292929</v>
      </c>
      <c r="M24" s="29" t="n">
        <f aca="false">MAX(0,MIN(B24+C24,cs_xpl)-B24)</f>
        <v>0</v>
      </c>
      <c r="N24" s="29" t="n">
        <f aca="false">G24*MAX(0,B24+C24-MAX(B24,cs_xpl))</f>
        <v>134</v>
      </c>
      <c r="O24" s="29" t="n">
        <f aca="false">H24*M24*(cs_xpl-B24-M24/2)</f>
        <v>-0</v>
      </c>
      <c r="P24" s="29" t="n">
        <f aca="false">H24*N24*(MAX(B24,cs_xpl)+N24/2-cs_xpl)</f>
        <v>31399834.9570344</v>
      </c>
      <c r="Q24" s="29" t="n">
        <f aca="false">(1-G24)*H24*M24</f>
        <v>0</v>
      </c>
    </row>
    <row r="25" customFormat="false" ht="15" hidden="false" customHeight="false" outlineLevel="0" collapsed="false">
      <c r="A25" s="28" t="s">
        <v>485</v>
      </c>
      <c r="B25" s="29" t="n">
        <f aca="false">cs_yst+a_h-a_ti-a_r</f>
        <v>677</v>
      </c>
      <c r="C25" s="29" t="n">
        <f aca="false">a_r</f>
        <v>18</v>
      </c>
      <c r="D25" s="29" t="n">
        <f aca="false">a_tw+a_fw</f>
        <v>16.7256661176919</v>
      </c>
      <c r="E25" s="29" t="n">
        <f aca="false">fyd_a</f>
        <v>261.904761904762</v>
      </c>
      <c r="F25" s="29" t="n">
        <v>2</v>
      </c>
      <c r="G25" s="29" t="n">
        <v>1</v>
      </c>
      <c r="H25" s="29" t="n">
        <f aca="false">D25*E25</f>
        <v>4380.53160225263</v>
      </c>
      <c r="I25" s="29" t="n">
        <f aca="false">J24</f>
        <v>2299190.47619048</v>
      </c>
      <c r="J25" s="29" t="n">
        <f aca="false">I25+F25*H25*C25</f>
        <v>2456889.61387157</v>
      </c>
      <c r="K25" s="29" t="n">
        <f aca="false">IF(AND(I25&lt;0,J25&gt;=0),1,0)</f>
        <v>0</v>
      </c>
      <c r="L25" s="29" t="n">
        <f aca="false">IFERROR(B25-I25/(F25*H25),0)</f>
        <v>414.567185337945</v>
      </c>
      <c r="M25" s="29" t="n">
        <f aca="false">MAX(0,MIN(B25+C25,cs_xpl)-B25)</f>
        <v>0</v>
      </c>
      <c r="N25" s="29" t="n">
        <f aca="false">G25*MAX(0,B25+C25-MAX(B25,cs_xpl))</f>
        <v>18</v>
      </c>
      <c r="O25" s="29" t="n">
        <f aca="false">H25*M25*(cs_xpl-B25-M25/2)</f>
        <v>-0</v>
      </c>
      <c r="P25" s="29" t="n">
        <f aca="false">H25*N25*(MAX(B25,cs_xpl)+N25/2-cs_xpl)</f>
        <v>13831121.7937023</v>
      </c>
      <c r="Q25" s="29" t="n">
        <f aca="false">(1-G25)*H25*M25</f>
        <v>0</v>
      </c>
    </row>
    <row r="26" customFormat="false" ht="15" hidden="false" customHeight="false" outlineLevel="0" collapsed="false">
      <c r="A26" s="28" t="s">
        <v>486</v>
      </c>
      <c r="B26" s="29" t="n">
        <f aca="false">cs_yst+a_h-a_ti</f>
        <v>695</v>
      </c>
      <c r="C26" s="29" t="n">
        <f aca="false">a_ti</f>
        <v>15</v>
      </c>
      <c r="D26" s="29" t="n">
        <f aca="false">a_bi</f>
        <v>200</v>
      </c>
      <c r="E26" s="29" t="n">
        <f aca="false">fyd_a</f>
        <v>261.904761904762</v>
      </c>
      <c r="F26" s="29" t="n">
        <v>2</v>
      </c>
      <c r="G26" s="29" t="n">
        <v>1</v>
      </c>
      <c r="H26" s="29" t="n">
        <f aca="false">D26*E26</f>
        <v>52380.9523809524</v>
      </c>
      <c r="I26" s="29" t="n">
        <f aca="false">J25</f>
        <v>2456889.61387157</v>
      </c>
      <c r="J26" s="29" t="n">
        <f aca="false">I26+F26*H26*C26</f>
        <v>4028318.18530014</v>
      </c>
      <c r="K26" s="29" t="n">
        <f aca="false">IF(AND(I26&lt;0,J26&gt;=0),1,0)</f>
        <v>0</v>
      </c>
      <c r="L26" s="29" t="n">
        <f aca="false">IFERROR(B26-I26/(F26*H26),0)</f>
        <v>671.54787186759</v>
      </c>
      <c r="M26" s="29" t="n">
        <f aca="false">MAX(0,MIN(B26+C26,cs_xpl)-B26)</f>
        <v>0</v>
      </c>
      <c r="N26" s="29" t="n">
        <f aca="false">G26*MAX(0,B26+C26-MAX(B26,cs_xpl))</f>
        <v>15</v>
      </c>
      <c r="O26" s="29" t="n">
        <f aca="false">H26*M26*(cs_xpl-B26-M26/2)</f>
        <v>-0</v>
      </c>
      <c r="P26" s="29" t="n">
        <f aca="false">H26*N26*(MAX(B26,cs_xpl)+N26/2-cs_xpl)</f>
        <v>150787613.610249</v>
      </c>
      <c r="Q26" s="29" t="n">
        <f aca="false">(1-G26)*H26*M26</f>
        <v>0</v>
      </c>
    </row>
    <row r="28" customFormat="false" ht="27.75" hidden="false" customHeight="true" outlineLevel="0" collapsed="false">
      <c r="A28" s="35" t="s">
        <v>487</v>
      </c>
      <c r="B28" s="35"/>
      <c r="C28" s="35"/>
      <c r="D28" s="35"/>
      <c r="E28" s="35"/>
    </row>
    <row r="30" customFormat="false" ht="15" hidden="false" customHeight="false" outlineLevel="0" collapsed="false">
      <c r="A30" s="9" t="s">
        <v>488</v>
      </c>
      <c r="B30" s="10"/>
      <c r="C30" s="10"/>
      <c r="D30" s="10"/>
      <c r="E30" s="10"/>
    </row>
    <row r="31" customFormat="false" ht="15" hidden="false" customHeight="false" outlineLevel="0" collapsed="false">
      <c r="A31" s="11" t="s">
        <v>34</v>
      </c>
      <c r="B31" s="11" t="s">
        <v>35</v>
      </c>
      <c r="C31" s="11" t="s">
        <v>36</v>
      </c>
      <c r="D31" s="11" t="s">
        <v>37</v>
      </c>
      <c r="E31" s="11" t="s">
        <v>38</v>
      </c>
    </row>
    <row r="32" customFormat="false" ht="15" hidden="false" customHeight="true" outlineLevel="0" collapsed="false">
      <c r="A32" s="12" t="s">
        <v>489</v>
      </c>
      <c r="B32" s="13" t="s">
        <v>490</v>
      </c>
      <c r="C32" s="24" t="n">
        <f aca="false">SUMPRODUCT(K19:K26,L19:L26)</f>
        <v>510.588491768774</v>
      </c>
      <c r="D32" s="15" t="s">
        <v>63</v>
      </c>
      <c r="E32" s="16"/>
    </row>
    <row r="33" customFormat="false" ht="15" hidden="false" customHeight="true" outlineLevel="0" collapsed="false">
      <c r="A33" s="12" t="s">
        <v>491</v>
      </c>
      <c r="B33" s="13"/>
      <c r="C33" s="33" t="str">
        <f aca="false">IF(cs_xpl&lt;=cs_tone,"nel cls superiore (soletta)",IF(cs_xpl&lt;=cs_tone+cs_ttwo,"nel cls inferiore",IF(cs_xpl&lt;=cs_yst,"nella malta",IF(cs_xpl&lt;=cs_yst+a_ts,"nell'ala superiore del profilo","nell'anima del profilo"))))</f>
        <v>nell'ala superiore del profilo</v>
      </c>
      <c r="D33" s="15"/>
      <c r="E33" s="16" t="s">
        <v>492</v>
      </c>
    </row>
    <row r="34" customFormat="false" ht="25.5" hidden="false" customHeight="true" outlineLevel="0" collapsed="false">
      <c r="A34" s="12" t="s">
        <v>493</v>
      </c>
      <c r="B34" s="13" t="s">
        <v>494</v>
      </c>
      <c r="C34" s="36" t="n">
        <f aca="false">SUM(Q19:Q26)/1000</f>
        <v>1983.33333333333</v>
      </c>
      <c r="D34" s="15" t="s">
        <v>139</v>
      </c>
      <c r="E34" s="16" t="s">
        <v>495</v>
      </c>
    </row>
    <row r="35" customFormat="false" ht="15" hidden="false" customHeight="true" outlineLevel="0" collapsed="false">
      <c r="A35" s="12" t="s">
        <v>496</v>
      </c>
      <c r="B35" s="13" t="s">
        <v>497</v>
      </c>
      <c r="C35" s="32" t="n">
        <f aca="false">SUMPRODUCT(1-G19:G26,H19:H26,C19:C26)/1000</f>
        <v>1983.33333333333</v>
      </c>
      <c r="D35" s="15" t="s">
        <v>139</v>
      </c>
      <c r="E35" s="16" t="s">
        <v>498</v>
      </c>
    </row>
    <row r="36" customFormat="false" ht="15" hidden="false" customHeight="true" outlineLevel="0" collapsed="false">
      <c r="A36" s="12" t="s">
        <v>499</v>
      </c>
      <c r="B36" s="13" t="s">
        <v>500</v>
      </c>
      <c r="C36" s="24" t="n">
        <f aca="false">(SUM(O19:O26)+SUM(P19:P26))/1000000</f>
        <v>850.480344491057</v>
      </c>
      <c r="D36" s="15" t="s">
        <v>136</v>
      </c>
      <c r="E36" s="16" t="s">
        <v>501</v>
      </c>
    </row>
    <row r="37" customFormat="false" ht="15" hidden="false" customHeight="true" outlineLevel="0" collapsed="false">
      <c r="A37" s="12" t="s">
        <v>502</v>
      </c>
      <c r="B37" s="13"/>
      <c r="C37" s="20" t="n">
        <f aca="false">cs_mpl/a_mpl</f>
        <v>5.06468949849734</v>
      </c>
      <c r="D37" s="15" t="s">
        <v>74</v>
      </c>
      <c r="E37" s="16" t="s">
        <v>503</v>
      </c>
    </row>
    <row r="39" customFormat="false" ht="15" hidden="false" customHeight="false" outlineLevel="0" collapsed="false">
      <c r="A39" s="9" t="s">
        <v>504</v>
      </c>
      <c r="B39" s="10"/>
      <c r="C39" s="10"/>
      <c r="D39" s="10"/>
      <c r="E39" s="10"/>
    </row>
    <row r="40" customFormat="false" ht="15" hidden="false" customHeight="false" outlineLevel="0" collapsed="false">
      <c r="A40" s="11" t="s">
        <v>34</v>
      </c>
      <c r="B40" s="11" t="s">
        <v>35</v>
      </c>
      <c r="C40" s="11" t="s">
        <v>36</v>
      </c>
      <c r="D40" s="11" t="s">
        <v>37</v>
      </c>
      <c r="E40" s="11" t="s">
        <v>38</v>
      </c>
    </row>
    <row r="41" customFormat="false" ht="15" hidden="false" customHeight="true" outlineLevel="0" collapsed="false">
      <c r="A41" s="12" t="s">
        <v>505</v>
      </c>
      <c r="B41" s="13" t="s">
        <v>506</v>
      </c>
      <c r="C41" s="22" t="n">
        <f aca="false">a_hw-2*a_r</f>
        <v>134</v>
      </c>
      <c r="D41" s="15" t="s">
        <v>63</v>
      </c>
      <c r="E41" s="16"/>
    </row>
    <row r="42" customFormat="false" ht="15" hidden="false" customHeight="true" outlineLevel="0" collapsed="false">
      <c r="A42" s="12" t="s">
        <v>507</v>
      </c>
      <c r="B42" s="13" t="s">
        <v>508</v>
      </c>
      <c r="C42" s="25" t="n">
        <f aca="false">MIN(1,MAX(0,(cs_xpl-(cs_yst+a_ts+a_r))/cs_cw))</f>
        <v>0</v>
      </c>
      <c r="D42" s="15" t="s">
        <v>74</v>
      </c>
      <c r="E42" s="16" t="s">
        <v>509</v>
      </c>
    </row>
    <row r="43" customFormat="false" ht="15" hidden="false" customHeight="true" outlineLevel="0" collapsed="false">
      <c r="A43" s="12" t="s">
        <v>510</v>
      </c>
      <c r="B43" s="13"/>
      <c r="C43" s="22" t="n">
        <f aca="false">IF(cs_alfa=0,9999,IF(cs_alfa&gt;0.5,456*eps_a/(13*cs_alfa-1),41.5*eps_a/cs_alfa))</f>
        <v>9999</v>
      </c>
      <c r="D43" s="15" t="s">
        <v>74</v>
      </c>
      <c r="E43" s="16" t="s">
        <v>511</v>
      </c>
    </row>
    <row r="44" customFormat="false" ht="15" hidden="false" customHeight="true" outlineLevel="0" collapsed="false">
      <c r="A44" s="12" t="s">
        <v>512</v>
      </c>
      <c r="B44" s="13"/>
      <c r="C44" s="33" t="str">
        <f aca="false">IF(cs_cw/a_tw&lt;=cs_wlim,"OK","NON VERIFICATA: anima classe 3 - calcolo plastico non ammesso")</f>
        <v>OK</v>
      </c>
      <c r="D44" s="15"/>
      <c r="E44" s="16"/>
    </row>
    <row r="45" customFormat="false" ht="15" hidden="false" customHeight="true" outlineLevel="0" collapsed="false">
      <c r="A45" s="12" t="s">
        <v>513</v>
      </c>
      <c r="B45" s="13"/>
      <c r="C45" s="33" t="str">
        <f aca="false">IF(cs_xpl&lt;=cs_yst,"OK",IF(a_clf&lt;=2,"OK","ATTENZIONE: ala classe "&amp;a_clf&amp;" - ammessa classe 1 solo se connettori con passo &lt;= 22 tf eps (EC4 5.5.2, 6.6.5.5)"))</f>
        <v>OK</v>
      </c>
      <c r="D45" s="15"/>
      <c r="E45" s="16"/>
    </row>
    <row r="46" customFormat="false" ht="15" hidden="false" customHeight="true" outlineLevel="0" collapsed="false">
      <c r="A46" s="12" t="s">
        <v>514</v>
      </c>
      <c r="B46" s="13"/>
      <c r="C46" s="19" t="n">
        <f aca="false">IF(cs_wcl="OK",1,0)</f>
        <v>1</v>
      </c>
      <c r="D46" s="15"/>
      <c r="E46" s="16"/>
    </row>
    <row r="48" customFormat="false" ht="15" hidden="false" customHeight="false" outlineLevel="0" collapsed="false">
      <c r="A48" s="9" t="s">
        <v>515</v>
      </c>
      <c r="B48" s="10"/>
      <c r="C48" s="10"/>
      <c r="D48" s="10"/>
      <c r="E48" s="10"/>
    </row>
    <row r="49" customFormat="false" ht="15" hidden="false" customHeight="false" outlineLevel="0" collapsed="false">
      <c r="A49" s="11" t="s">
        <v>34</v>
      </c>
      <c r="B49" s="11" t="s">
        <v>35</v>
      </c>
      <c r="C49" s="11" t="s">
        <v>36</v>
      </c>
      <c r="D49" s="11" t="s">
        <v>37</v>
      </c>
      <c r="E49" s="11" t="s">
        <v>38</v>
      </c>
    </row>
    <row r="50" customFormat="false" ht="30" hidden="false" customHeight="true" outlineLevel="0" collapsed="false">
      <c r="A50" s="35" t="s">
        <v>516</v>
      </c>
      <c r="B50" s="35"/>
      <c r="C50" s="35"/>
      <c r="D50" s="35"/>
      <c r="E50" s="35"/>
    </row>
    <row r="51" customFormat="false" ht="15" hidden="false" customHeight="true" outlineLevel="0" collapsed="false">
      <c r="A51" s="12" t="s">
        <v>517</v>
      </c>
      <c r="B51" s="13" t="s">
        <v>518</v>
      </c>
      <c r="C51" s="31" t="n">
        <f aca="false">cs_bone*cs_tone</f>
        <v>72000</v>
      </c>
      <c r="D51" s="15" t="s">
        <v>291</v>
      </c>
      <c r="E51" s="16"/>
    </row>
    <row r="52" customFormat="false" ht="15" hidden="false" customHeight="true" outlineLevel="0" collapsed="false">
      <c r="A52" s="12" t="s">
        <v>519</v>
      </c>
      <c r="B52" s="13" t="s">
        <v>520</v>
      </c>
      <c r="C52" s="31" t="n">
        <f aca="false">cs_btwo*cs_ttwo</f>
        <v>138000</v>
      </c>
      <c r="D52" s="15" t="s">
        <v>291</v>
      </c>
      <c r="E52" s="16"/>
    </row>
    <row r="53" customFormat="false" ht="15" hidden="false" customHeight="true" outlineLevel="0" collapsed="false">
      <c r="A53" s="12" t="s">
        <v>521</v>
      </c>
      <c r="B53" s="13" t="s">
        <v>522</v>
      </c>
      <c r="C53" s="22" t="n">
        <f aca="false">cs_yst+a_yg</f>
        <v>610</v>
      </c>
      <c r="D53" s="15" t="s">
        <v>63</v>
      </c>
      <c r="E53" s="16"/>
    </row>
    <row r="55" customFormat="false" ht="15" hidden="false" customHeight="false" outlineLevel="0" collapsed="false">
      <c r="A55" s="9" t="s">
        <v>523</v>
      </c>
      <c r="B55" s="10"/>
      <c r="C55" s="10"/>
      <c r="D55" s="10"/>
      <c r="E55" s="10"/>
    </row>
    <row r="56" customFormat="false" ht="15" hidden="false" customHeight="false" outlineLevel="0" collapsed="false">
      <c r="A56" s="11" t="s">
        <v>34</v>
      </c>
      <c r="B56" s="11" t="s">
        <v>35</v>
      </c>
      <c r="C56" s="11" t="s">
        <v>36</v>
      </c>
      <c r="D56" s="11" t="s">
        <v>37</v>
      </c>
      <c r="E56" s="11" t="s">
        <v>38</v>
      </c>
    </row>
    <row r="57" customFormat="false" ht="15" hidden="false" customHeight="true" outlineLevel="0" collapsed="false">
      <c r="A57" s="12" t="s">
        <v>524</v>
      </c>
      <c r="B57" s="13" t="s">
        <v>525</v>
      </c>
      <c r="C57" s="22" t="n">
        <f aca="false">(-a_area+SQRT(a_area^2+2*(cs_bone/n_zero)*a_area*cs_ys))/(cs_bone/n_zero)</f>
        <v>171.703750135399</v>
      </c>
      <c r="D57" s="15" t="s">
        <v>63</v>
      </c>
      <c r="E57" s="16" t="s">
        <v>526</v>
      </c>
    </row>
    <row r="58" customFormat="false" ht="15" hidden="false" customHeight="true" outlineLevel="0" collapsed="false">
      <c r="A58" s="12" t="s">
        <v>527</v>
      </c>
      <c r="B58" s="13" t="s">
        <v>528</v>
      </c>
      <c r="C58" s="31" t="n">
        <f aca="false">cs_aone/n_zero*(cs_tone-cs_tone/2)-a_area*(cs_ys-cs_tone)</f>
        <v>-4264903.74009329</v>
      </c>
      <c r="D58" s="15" t="s">
        <v>302</v>
      </c>
      <c r="E58" s="16"/>
    </row>
    <row r="59" customFormat="false" ht="15" hidden="false" customHeight="true" outlineLevel="0" collapsed="false">
      <c r="A59" s="12" t="s">
        <v>529</v>
      </c>
      <c r="B59" s="13" t="s">
        <v>530</v>
      </c>
      <c r="C59" s="31" t="n">
        <f aca="false">cs_aone/n_zero+a_area</f>
        <v>17094.4704123243</v>
      </c>
      <c r="D59" s="15" t="s">
        <v>291</v>
      </c>
      <c r="E59" s="16"/>
    </row>
    <row r="60" customFormat="false" ht="15" hidden="false" customHeight="true" outlineLevel="0" collapsed="false">
      <c r="A60" s="12" t="s">
        <v>531</v>
      </c>
      <c r="B60" s="13" t="s">
        <v>532</v>
      </c>
      <c r="C60" s="22" t="n">
        <f aca="false">IFERROR(IF(cs_btwo=0,-els_sz/els_bb,(-els_bb+SQRT(els_bb^2-4*cs_btwo/(2*n_zero)*els_sz))/(2*cs_btwo/(2*n_zero))),1000000000)</f>
        <v>202.898748554873</v>
      </c>
      <c r="D60" s="15" t="s">
        <v>63</v>
      </c>
      <c r="E60" s="16" t="s">
        <v>533</v>
      </c>
    </row>
    <row r="61" customFormat="false" ht="15" hidden="false" customHeight="true" outlineLevel="0" collapsed="false">
      <c r="A61" s="12" t="s">
        <v>534</v>
      </c>
      <c r="B61" s="13" t="s">
        <v>535</v>
      </c>
      <c r="C61" s="22" t="n">
        <f aca="false">(cs_aone/n_zero*cs_tone/2+cs_atwo/n_zero*(cs_tone+cs_ttwo/2)+a_area*cs_ys)/(cs_aone/n_zero+cs_atwo/n_zero+a_area)</f>
        <v>279.548410010099</v>
      </c>
      <c r="D61" s="15" t="s">
        <v>63</v>
      </c>
      <c r="E61" s="16"/>
    </row>
    <row r="62" customFormat="false" ht="15" hidden="false" customHeight="true" outlineLevel="0" collapsed="false">
      <c r="A62" s="12" t="s">
        <v>536</v>
      </c>
      <c r="B62" s="13" t="s">
        <v>537</v>
      </c>
      <c r="C62" s="24" t="n">
        <f aca="false">IF(els_xa&lt;=cs_tone,els_xa,IF(AND(cs_btwo&gt;0,els_u&lt;=cs_ttwo),cs_tone+els_u,els_xc))</f>
        <v>242.898748554873</v>
      </c>
      <c r="D62" s="15" t="s">
        <v>63</v>
      </c>
      <c r="E62" s="16"/>
    </row>
    <row r="63" customFormat="false" ht="15" hidden="false" customHeight="true" outlineLevel="0" collapsed="false">
      <c r="A63" s="12" t="s">
        <v>538</v>
      </c>
      <c r="B63" s="13"/>
      <c r="C63" s="22" t="n">
        <f aca="false">MIN(els_x,cs_tone)</f>
        <v>40</v>
      </c>
      <c r="D63" s="15" t="s">
        <v>63</v>
      </c>
      <c r="E63" s="16"/>
    </row>
    <row r="64" customFormat="false" ht="15" hidden="false" customHeight="true" outlineLevel="0" collapsed="false">
      <c r="A64" s="12" t="s">
        <v>539</v>
      </c>
      <c r="B64" s="13"/>
      <c r="C64" s="22" t="n">
        <f aca="false">IF(cs_btwo&gt;0,MAX(0,MIN(els_x-cs_tone,cs_ttwo)),0)</f>
        <v>202.898748554873</v>
      </c>
      <c r="D64" s="15" t="s">
        <v>63</v>
      </c>
      <c r="E64" s="16"/>
    </row>
    <row r="65" customFormat="false" ht="15" hidden="false" customHeight="true" outlineLevel="0" collapsed="false">
      <c r="A65" s="12" t="s">
        <v>540</v>
      </c>
      <c r="B65" s="13" t="s">
        <v>541</v>
      </c>
      <c r="C65" s="30" t="n">
        <f aca="false">a_iy+a_area*(cs_ys-els_x)^2+(cs_bone*els_hone^3/12+cs_bone*els_hone*(els_x-els_hone/2)^2)/n_zero+(cs_btwo*els_htwo^3/12+cs_btwo*els_htwo*(els_x-cs_tone-els_htwo/2)^2)/n_zero</f>
        <v>1679350555.80394</v>
      </c>
      <c r="D65" s="15" t="s">
        <v>298</v>
      </c>
      <c r="E65" s="16" t="s">
        <v>542</v>
      </c>
    </row>
    <row r="66" customFormat="false" ht="15" hidden="false" customHeight="true" outlineLevel="0" collapsed="false">
      <c r="A66" s="12" t="s">
        <v>543</v>
      </c>
      <c r="B66" s="13" t="s">
        <v>544</v>
      </c>
      <c r="C66" s="31" t="n">
        <f aca="false">a_area*(cs_ys-els_x)</f>
        <v>2866372.08458368</v>
      </c>
      <c r="D66" s="15" t="s">
        <v>302</v>
      </c>
      <c r="E66" s="16" t="s">
        <v>545</v>
      </c>
    </row>
    <row r="67" customFormat="false" ht="15" hidden="false" customHeight="true" outlineLevel="0" collapsed="false">
      <c r="A67" s="12" t="s">
        <v>546</v>
      </c>
      <c r="B67" s="13" t="s">
        <v>547</v>
      </c>
      <c r="C67" s="31" t="n">
        <f aca="false">els_j/(cs_htot-els_x)</f>
        <v>3595260.23663678</v>
      </c>
      <c r="D67" s="15" t="s">
        <v>302</v>
      </c>
      <c r="E67" s="16"/>
    </row>
    <row r="68" customFormat="false" ht="15" hidden="false" customHeight="true" outlineLevel="0" collapsed="false">
      <c r="A68" s="12" t="s">
        <v>548</v>
      </c>
      <c r="B68" s="13"/>
      <c r="C68" s="20" t="n">
        <f aca="false">els_j/a_iy</f>
        <v>29.5927563713789</v>
      </c>
      <c r="D68" s="15" t="s">
        <v>74</v>
      </c>
      <c r="E68" s="16" t="s">
        <v>549</v>
      </c>
    </row>
    <row r="70" customFormat="false" ht="15" hidden="false" customHeight="false" outlineLevel="0" collapsed="false">
      <c r="A70" s="9" t="s">
        <v>550</v>
      </c>
      <c r="B70" s="10"/>
      <c r="C70" s="10"/>
      <c r="D70" s="10"/>
      <c r="E70" s="10"/>
    </row>
    <row r="71" customFormat="false" ht="15" hidden="false" customHeight="false" outlineLevel="0" collapsed="false">
      <c r="A71" s="11" t="s">
        <v>34</v>
      </c>
      <c r="B71" s="11" t="s">
        <v>35</v>
      </c>
      <c r="C71" s="11" t="s">
        <v>36</v>
      </c>
      <c r="D71" s="11" t="s">
        <v>37</v>
      </c>
      <c r="E71" s="11" t="s">
        <v>38</v>
      </c>
    </row>
    <row r="72" customFormat="false" ht="15" hidden="false" customHeight="true" outlineLevel="0" collapsed="false">
      <c r="A72" s="12" t="s">
        <v>524</v>
      </c>
      <c r="B72" s="13" t="s">
        <v>525</v>
      </c>
      <c r="C72" s="22" t="n">
        <f aca="false">(-a_area+SQRT(a_area^2+2*(cs_bone/n_lt)*a_area*cs_ys))/(cs_bone/n_lt)</f>
        <v>264.171922048883</v>
      </c>
      <c r="D72" s="15" t="s">
        <v>63</v>
      </c>
      <c r="E72" s="16" t="s">
        <v>526</v>
      </c>
    </row>
    <row r="73" customFormat="false" ht="15" hidden="false" customHeight="true" outlineLevel="0" collapsed="false">
      <c r="A73" s="12" t="s">
        <v>527</v>
      </c>
      <c r="B73" s="13" t="s">
        <v>528</v>
      </c>
      <c r="C73" s="31" t="n">
        <f aca="false">cs_aone/n_lt*(cs_tone-cs_tone/2)-a_area*(cs_ys-cs_tone)</f>
        <v>-4388721.69252112</v>
      </c>
      <c r="D73" s="15" t="s">
        <v>302</v>
      </c>
      <c r="E73" s="16"/>
    </row>
    <row r="74" customFormat="false" ht="15" hidden="false" customHeight="true" outlineLevel="0" collapsed="false">
      <c r="A74" s="12" t="s">
        <v>529</v>
      </c>
      <c r="B74" s="13" t="s">
        <v>530</v>
      </c>
      <c r="C74" s="31" t="n">
        <f aca="false">cs_aone/n_lt+a_area</f>
        <v>10903.5727909327</v>
      </c>
      <c r="D74" s="15" t="s">
        <v>291</v>
      </c>
      <c r="E74" s="16"/>
    </row>
    <row r="75" customFormat="false" ht="15" hidden="false" customHeight="true" outlineLevel="0" collapsed="false">
      <c r="A75" s="12" t="s">
        <v>531</v>
      </c>
      <c r="B75" s="13" t="s">
        <v>532</v>
      </c>
      <c r="C75" s="22" t="n">
        <f aca="false">IFERROR(IF(cs_btwo=0,-ell_sz/ell_bb,(-ell_bb+SQRT(ell_bb^2-4*cs_btwo/(2*n_lt)*ell_sz))/(2*cs_btwo/(2*n_lt))),1000000000)</f>
        <v>335.807801727796</v>
      </c>
      <c r="D75" s="15" t="s">
        <v>63</v>
      </c>
      <c r="E75" s="16" t="s">
        <v>533</v>
      </c>
    </row>
    <row r="76" customFormat="false" ht="15" hidden="false" customHeight="true" outlineLevel="0" collapsed="false">
      <c r="A76" s="12" t="s">
        <v>534</v>
      </c>
      <c r="B76" s="13" t="s">
        <v>535</v>
      </c>
      <c r="C76" s="22" t="n">
        <f aca="false">(cs_aone/n_lt*cs_tone/2+cs_atwo/n_lt*(cs_tone+cs_ttwo/2)+a_area*cs_ys)/(cs_aone/n_lt+cs_atwo/n_lt+a_area)</f>
        <v>381.71550646766</v>
      </c>
      <c r="D76" s="15" t="s">
        <v>63</v>
      </c>
      <c r="E76" s="16"/>
    </row>
    <row r="77" customFormat="false" ht="15" hidden="false" customHeight="true" outlineLevel="0" collapsed="false">
      <c r="A77" s="12" t="s">
        <v>536</v>
      </c>
      <c r="B77" s="13" t="s">
        <v>537</v>
      </c>
      <c r="C77" s="24" t="n">
        <f aca="false">IF(ell_xa&lt;=cs_tone,ell_xa,IF(AND(cs_btwo&gt;0,ell_u&lt;=cs_ttwo),cs_tone+ell_u,ell_xc))</f>
        <v>375.807801727796</v>
      </c>
      <c r="D77" s="15" t="s">
        <v>63</v>
      </c>
      <c r="E77" s="16"/>
    </row>
    <row r="78" customFormat="false" ht="15" hidden="false" customHeight="true" outlineLevel="0" collapsed="false">
      <c r="A78" s="12" t="s">
        <v>538</v>
      </c>
      <c r="B78" s="13"/>
      <c r="C78" s="22" t="n">
        <f aca="false">MIN(ell_x,cs_tone)</f>
        <v>40</v>
      </c>
      <c r="D78" s="15" t="s">
        <v>63</v>
      </c>
      <c r="E78" s="16"/>
    </row>
    <row r="79" customFormat="false" ht="15" hidden="false" customHeight="true" outlineLevel="0" collapsed="false">
      <c r="A79" s="12" t="s">
        <v>539</v>
      </c>
      <c r="B79" s="13"/>
      <c r="C79" s="22" t="n">
        <f aca="false">IF(cs_btwo&gt;0,MAX(0,MIN(ell_x-cs_tone,cs_ttwo)),0)</f>
        <v>335.807801727796</v>
      </c>
      <c r="D79" s="15" t="s">
        <v>63</v>
      </c>
      <c r="E79" s="16"/>
    </row>
    <row r="80" customFormat="false" ht="15" hidden="false" customHeight="true" outlineLevel="0" collapsed="false">
      <c r="A80" s="12" t="s">
        <v>540</v>
      </c>
      <c r="B80" s="13" t="s">
        <v>541</v>
      </c>
      <c r="C80" s="30" t="n">
        <f aca="false">a_iy+a_area*(cs_ys-ell_x)^2+(cs_bone*ell_hone^3/12+cs_bone*ell_hone*(ell_x-ell_hone/2)^2)/n_lt+(cs_btwo*ell_htwo^3/12+cs_btwo*ell_htwo*(ell_x-cs_tone-ell_htwo/2)^2)/n_lt</f>
        <v>1040090405.79751</v>
      </c>
      <c r="D80" s="15" t="s">
        <v>298</v>
      </c>
      <c r="E80" s="16" t="s">
        <v>542</v>
      </c>
    </row>
    <row r="81" customFormat="false" ht="15" hidden="false" customHeight="true" outlineLevel="0" collapsed="false">
      <c r="A81" s="12" t="s">
        <v>543</v>
      </c>
      <c r="B81" s="13" t="s">
        <v>544</v>
      </c>
      <c r="C81" s="31" t="n">
        <f aca="false">a_area*(cs_ys-ell_x)</f>
        <v>1828601.71931359</v>
      </c>
      <c r="D81" s="15" t="s">
        <v>302</v>
      </c>
      <c r="E81" s="16" t="s">
        <v>545</v>
      </c>
    </row>
    <row r="82" customFormat="false" ht="15" hidden="false" customHeight="true" outlineLevel="0" collapsed="false">
      <c r="A82" s="12" t="s">
        <v>546</v>
      </c>
      <c r="B82" s="13" t="s">
        <v>547</v>
      </c>
      <c r="C82" s="31" t="n">
        <f aca="false">ell_j/(cs_htot-ell_x)</f>
        <v>3112252.20449443</v>
      </c>
      <c r="D82" s="15" t="s">
        <v>302</v>
      </c>
      <c r="E82" s="16"/>
    </row>
    <row r="83" customFormat="false" ht="15" hidden="false" customHeight="true" outlineLevel="0" collapsed="false">
      <c r="A83" s="12" t="s">
        <v>548</v>
      </c>
      <c r="B83" s="13"/>
      <c r="C83" s="20" t="n">
        <f aca="false">ell_j/a_iy</f>
        <v>18.3280029750784</v>
      </c>
      <c r="D83" s="15" t="s">
        <v>74</v>
      </c>
      <c r="E83" s="16" t="s">
        <v>549</v>
      </c>
    </row>
  </sheetData>
  <mergeCells count="5">
    <mergeCell ref="A1:E1"/>
    <mergeCell ref="A2:E2"/>
    <mergeCell ref="A3:E3"/>
    <mergeCell ref="A28:E28"/>
    <mergeCell ref="A50:E50"/>
  </mergeCells>
  <conditionalFormatting sqref="C44:C45">
    <cfRule type="expression" priority="2" aboveAverage="0" equalAverage="0" bottom="0" percent="0" rank="0" text="" dxfId="0">
      <formula>ISNUMBER(SEARCH("NON",C44))</formula>
    </cfRule>
    <cfRule type="expression" priority="3" aboveAverage="0" equalAverage="0" bottom="0" percent="0" rank="0" text="" dxfId="1">
      <formula>ISNUMBER(SEARCH("N.A.",C44))</formula>
    </cfRule>
    <cfRule type="expression" priority="4" aboveAverage="0" equalAverage="0" bottom="0" percent="0" rank="0" text="" dxfId="2">
      <formula>OR(ISNUMBER(SEARCH("VERIFICATA",C44)),C44="OK")</formula>
    </cfRule>
    <cfRule type="expression" priority="5" aboveAverage="0" equalAverage="0" bottom="0" percent="0" rank="0" text="" dxfId="3">
      <formula>ISNUMBER(SEARCH("ATTENZIONE",C44))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95"/>
  </cols>
  <sheetData>
    <row r="1" customFormat="false" ht="25.5" hidden="false" customHeight="true" outlineLevel="0" collapsed="false">
      <c r="A1" s="6" t="s">
        <v>551</v>
      </c>
      <c r="B1" s="6"/>
      <c r="C1" s="6"/>
      <c r="D1" s="6"/>
      <c r="E1" s="6"/>
    </row>
    <row r="2" customFormat="false" ht="42" hidden="false" customHeight="true" outlineLevel="0" collapsed="false">
      <c r="A2" s="7" t="s">
        <v>552</v>
      </c>
      <c r="B2" s="7"/>
      <c r="C2" s="7"/>
      <c r="D2" s="7"/>
      <c r="E2" s="7"/>
    </row>
    <row r="3" customFormat="false" ht="15" hidden="false" customHeight="false" outlineLevel="0" collapsed="false">
      <c r="A3" s="8" t="s">
        <v>32</v>
      </c>
      <c r="B3" s="8"/>
      <c r="C3" s="8"/>
      <c r="D3" s="8"/>
      <c r="E3" s="8"/>
    </row>
    <row r="6" customFormat="false" ht="15" hidden="false" customHeight="false" outlineLevel="0" collapsed="false">
      <c r="A6" s="9" t="s">
        <v>553</v>
      </c>
      <c r="B6" s="10"/>
      <c r="C6" s="10"/>
      <c r="D6" s="10"/>
      <c r="E6" s="10"/>
    </row>
    <row r="7" customFormat="false" ht="15" hidden="false" customHeight="false" outlineLevel="0" collapsed="false">
      <c r="A7" s="11" t="s">
        <v>34</v>
      </c>
      <c r="B7" s="11" t="s">
        <v>35</v>
      </c>
      <c r="C7" s="11" t="s">
        <v>36</v>
      </c>
      <c r="D7" s="11" t="s">
        <v>37</v>
      </c>
      <c r="E7" s="11" t="s">
        <v>38</v>
      </c>
    </row>
    <row r="8" customFormat="false" ht="15" hidden="false" customHeight="true" outlineLevel="0" collapsed="false">
      <c r="A8" s="12" t="s">
        <v>554</v>
      </c>
      <c r="B8" s="13" t="s">
        <v>555</v>
      </c>
      <c r="C8" s="25" t="n">
        <f aca="false">IF(sc_n=1,st_eta,an_eta)</f>
        <v>0.135744269242074</v>
      </c>
      <c r="D8" s="15" t="s">
        <v>74</v>
      </c>
      <c r="E8" s="16" t="s">
        <v>556</v>
      </c>
    </row>
    <row r="9" customFormat="false" ht="39" hidden="false" customHeight="true" outlineLevel="0" collapsed="false">
      <c r="A9" s="12" t="s">
        <v>557</v>
      </c>
      <c r="B9" s="13" t="s">
        <v>558</v>
      </c>
      <c r="C9" s="24" t="n">
        <f aca="false">IF(vt_eta&gt;=1,cs_mpl,IF(sc_n=1,a_mpl+vt_eta*(cs_mpl-a_mpl),a_mpl))</f>
        <v>167.92349160662</v>
      </c>
      <c r="D9" s="15" t="s">
        <v>136</v>
      </c>
      <c r="E9" s="16" t="s">
        <v>559</v>
      </c>
    </row>
    <row r="10" customFormat="false" ht="15" hidden="false" customHeight="true" outlineLevel="0" collapsed="false">
      <c r="A10" s="12" t="s">
        <v>560</v>
      </c>
      <c r="B10" s="13"/>
      <c r="C10" s="37" t="n">
        <f aca="false">IF(cs_plok=1,m_ed/vt_mrd,99)</f>
        <v>1.20273931778382</v>
      </c>
      <c r="D10" s="15" t="s">
        <v>74</v>
      </c>
      <c r="E10" s="16" t="s">
        <v>561</v>
      </c>
    </row>
    <row r="11" customFormat="false" ht="15" hidden="false" customHeight="true" outlineLevel="0" collapsed="false">
      <c r="A11" s="12" t="s">
        <v>562</v>
      </c>
      <c r="B11" s="13"/>
      <c r="C11" s="33" t="str">
        <f aca="false">IF(NOT(OR(sc_n=1,an_crit="PLASTICA")),"N.A.",IF(vt_rm&lt;=1,"VERIFICATA","NON VERIFICATA"))</f>
        <v>N.A.</v>
      </c>
      <c r="D11" s="15"/>
      <c r="E11" s="16" t="s">
        <v>563</v>
      </c>
    </row>
    <row r="12" customFormat="false" ht="25.5" hidden="false" customHeight="true" outlineLevel="0" collapsed="false">
      <c r="A12" s="12" t="s">
        <v>564</v>
      </c>
      <c r="B12" s="13" t="s">
        <v>565</v>
      </c>
      <c r="C12" s="25" t="n">
        <f aca="false">IF(lu_m&lt;=25,MAX(0.4,1-(355/fyk_a)*(0.75-0.03*lu_m)),1)</f>
        <v>0.4</v>
      </c>
      <c r="D12" s="15" t="s">
        <v>74</v>
      </c>
      <c r="E12" s="16" t="s">
        <v>566</v>
      </c>
    </row>
    <row r="13" customFormat="false" ht="15" hidden="false" customHeight="true" outlineLevel="0" collapsed="false">
      <c r="A13" s="12" t="s">
        <v>567</v>
      </c>
      <c r="B13" s="13"/>
      <c r="C13" s="33" t="str">
        <f aca="false">IF(sc_n&lt;&gt;1,"N.A.",IF(st_eta&gt;=vt_emin,"VERIFICATA","NON VERIFICATA"))</f>
        <v>N.A.</v>
      </c>
      <c r="D13" s="15"/>
      <c r="E13" s="16"/>
    </row>
    <row r="15" customFormat="false" ht="15" hidden="false" customHeight="false" outlineLevel="0" collapsed="false">
      <c r="A15" s="9" t="s">
        <v>568</v>
      </c>
      <c r="B15" s="10"/>
      <c r="C15" s="10"/>
      <c r="D15" s="10"/>
      <c r="E15" s="10"/>
    </row>
    <row r="16" customFormat="false" ht="15" hidden="false" customHeight="false" outlineLevel="0" collapsed="false">
      <c r="A16" s="11" t="s">
        <v>34</v>
      </c>
      <c r="B16" s="11" t="s">
        <v>35</v>
      </c>
      <c r="C16" s="11" t="s">
        <v>36</v>
      </c>
      <c r="D16" s="11" t="s">
        <v>37</v>
      </c>
      <c r="E16" s="11" t="s">
        <v>38</v>
      </c>
    </row>
    <row r="17" customFormat="false" ht="15" hidden="false" customHeight="true" outlineLevel="0" collapsed="false">
      <c r="A17" s="12" t="s">
        <v>569</v>
      </c>
      <c r="B17" s="13"/>
      <c r="C17" s="37" t="n">
        <f aca="false">v_ed/a_vpl</f>
        <v>0.358600205214509</v>
      </c>
      <c r="D17" s="15" t="s">
        <v>74</v>
      </c>
      <c r="E17" s="16" t="s">
        <v>570</v>
      </c>
    </row>
    <row r="18" customFormat="false" ht="15" hidden="false" customHeight="true" outlineLevel="0" collapsed="false">
      <c r="A18" s="12" t="s">
        <v>571</v>
      </c>
      <c r="B18" s="13"/>
      <c r="C18" s="33" t="str">
        <f aca="false">IF(NOT(1),"N.A.",IF(vt_rv&lt;=1,"VERIFICATA","NON VERIFICATA"))</f>
        <v>VERIFICATA</v>
      </c>
      <c r="D18" s="15"/>
      <c r="E18" s="16"/>
    </row>
    <row r="19" customFormat="false" ht="15" hidden="false" customHeight="true" outlineLevel="0" collapsed="false">
      <c r="A19" s="12" t="s">
        <v>572</v>
      </c>
      <c r="B19" s="13"/>
      <c r="C19" s="33" t="str">
        <f aca="false">IF(vt_rv&lt;=0.5,"OK","ATTENZIONE: VEd&gt;0,5 Vpl - ridurre fyd dell'anima dove M e V sono contemporaneamente elevati (EC4 6.2.2.4)")</f>
        <v>OK</v>
      </c>
      <c r="D19" s="15"/>
      <c r="E19" s="16" t="s">
        <v>573</v>
      </c>
    </row>
    <row r="21" customFormat="false" ht="15" hidden="false" customHeight="false" outlineLevel="0" collapsed="false">
      <c r="A21" s="9" t="s">
        <v>574</v>
      </c>
      <c r="B21" s="10"/>
      <c r="C21" s="10"/>
      <c r="D21" s="10"/>
      <c r="E21" s="10"/>
    </row>
    <row r="22" customFormat="false" ht="15" hidden="false" customHeight="false" outlineLevel="0" collapsed="false">
      <c r="A22" s="11" t="s">
        <v>34</v>
      </c>
      <c r="B22" s="11" t="s">
        <v>35</v>
      </c>
      <c r="C22" s="11" t="s">
        <v>36</v>
      </c>
      <c r="D22" s="11" t="s">
        <v>37</v>
      </c>
      <c r="E22" s="11" t="s">
        <v>38</v>
      </c>
    </row>
    <row r="23" customFormat="false" ht="25.5" hidden="false" customHeight="true" outlineLevel="0" collapsed="false">
      <c r="A23" s="12" t="s">
        <v>575</v>
      </c>
      <c r="B23" s="13" t="s">
        <v>576</v>
      </c>
      <c r="C23" s="24" t="n">
        <f aca="false">((c_gone*v_gone+c_gtwo*v_gtwo)*ell_sint/ell_j+v_q*els_sint/els_j)*1000</f>
        <v>61.4460123816216</v>
      </c>
      <c r="D23" s="15" t="s">
        <v>577</v>
      </c>
      <c r="E23" s="16" t="s">
        <v>578</v>
      </c>
    </row>
    <row r="24" customFormat="false" ht="15" hidden="false" customHeight="true" outlineLevel="0" collapsed="false">
      <c r="A24" s="12" t="s">
        <v>579</v>
      </c>
      <c r="B24" s="13" t="s">
        <v>580</v>
      </c>
      <c r="C24" s="36" t="n">
        <f aca="false">(c_gone*m_gone+c_gtwo*m_gtwo)*1000*ell_sint/ell_j+m_q*1000*els_sint/els_j</f>
        <v>92.1690185724325</v>
      </c>
      <c r="D24" s="15" t="s">
        <v>139</v>
      </c>
      <c r="E24" s="16" t="s">
        <v>581</v>
      </c>
    </row>
    <row r="26" customFormat="false" ht="15" hidden="false" customHeight="false" outlineLevel="0" collapsed="false">
      <c r="A26" s="9" t="s">
        <v>582</v>
      </c>
      <c r="B26" s="10"/>
      <c r="C26" s="10"/>
      <c r="D26" s="10"/>
      <c r="E26" s="10"/>
    </row>
    <row r="27" customFormat="false" ht="15" hidden="false" customHeight="false" outlineLevel="0" collapsed="false">
      <c r="A27" s="11" t="s">
        <v>34</v>
      </c>
      <c r="B27" s="11" t="s">
        <v>35</v>
      </c>
      <c r="C27" s="11" t="s">
        <v>36</v>
      </c>
      <c r="D27" s="11" t="s">
        <v>37</v>
      </c>
      <c r="E27" s="11" t="s">
        <v>38</v>
      </c>
    </row>
    <row r="28" customFormat="false" ht="15" hidden="false" customHeight="true" outlineLevel="0" collapsed="false">
      <c r="A28" s="12" t="s">
        <v>583</v>
      </c>
      <c r="B28" s="13"/>
      <c r="C28" s="37" t="n">
        <f aca="false">IF(st_one=1,m_cost/IF(MAX(a_clf,a_clw)&lt;=2,a_mpl,a_mel),0)</f>
        <v>0</v>
      </c>
      <c r="D28" s="15" t="s">
        <v>74</v>
      </c>
      <c r="E28" s="16" t="s">
        <v>584</v>
      </c>
    </row>
    <row r="29" customFormat="false" ht="15" hidden="false" customHeight="true" outlineLevel="0" collapsed="false">
      <c r="A29" s="12" t="s">
        <v>585</v>
      </c>
      <c r="B29" s="13"/>
      <c r="C29" s="33" t="str">
        <f aca="false">IF(NOT(st_one=1),"N.A.",IF(vt_rmc&lt;=1,"VERIFICATA","NON VERIFICATA"))</f>
        <v>N.A.</v>
      </c>
      <c r="D29" s="15"/>
      <c r="E29" s="16"/>
    </row>
    <row r="30" customFormat="false" ht="15" hidden="false" customHeight="true" outlineLevel="0" collapsed="false">
      <c r="A30" s="12" t="s">
        <v>586</v>
      </c>
      <c r="B30" s="13"/>
      <c r="C30" s="37" t="n">
        <f aca="false">IF(st_one=1,v_cost/a_vpl,0)</f>
        <v>0</v>
      </c>
      <c r="D30" s="15" t="s">
        <v>74</v>
      </c>
      <c r="E30" s="16"/>
    </row>
    <row r="31" customFormat="false" ht="15" hidden="false" customHeight="true" outlineLevel="0" collapsed="false">
      <c r="A31" s="12" t="s">
        <v>587</v>
      </c>
      <c r="B31" s="13"/>
      <c r="C31" s="33" t="str">
        <f aca="false">IF(NOT(st_one=1),"N.A.",IF(vt_rvc&lt;=1,"VERIFICATA","NON VERIFICATA"))</f>
        <v>N.A.</v>
      </c>
      <c r="D31" s="15"/>
      <c r="E31" s="16"/>
    </row>
    <row r="32" customFormat="false" ht="15" hidden="false" customHeight="true" outlineLevel="0" collapsed="false">
      <c r="A32" s="12" t="s">
        <v>588</v>
      </c>
      <c r="B32" s="13"/>
      <c r="C32" s="33" t="str">
        <f aca="false">IF(st_one&lt;&gt;1,"N.A.",IF(sl_ltb="SI","OK","ATTENZIONE: verificare stabilita' flesso-torsionale EN 1993-1-1 6.3.2"))</f>
        <v>N.A.</v>
      </c>
      <c r="D32" s="15"/>
      <c r="E32" s="16"/>
    </row>
    <row r="34" customFormat="false" ht="15" hidden="false" customHeight="false" outlineLevel="0" collapsed="false">
      <c r="A34" s="9" t="s">
        <v>589</v>
      </c>
      <c r="B34" s="10"/>
      <c r="C34" s="10"/>
      <c r="D34" s="10"/>
      <c r="E34" s="10"/>
    </row>
    <row r="35" customFormat="false" ht="15" hidden="false" customHeight="false" outlineLevel="0" collapsed="false">
      <c r="A35" s="11" t="s">
        <v>34</v>
      </c>
      <c r="B35" s="11" t="s">
        <v>35</v>
      </c>
      <c r="C35" s="11" t="s">
        <v>36</v>
      </c>
      <c r="D35" s="11" t="s">
        <v>37</v>
      </c>
      <c r="E35" s="11" t="s">
        <v>38</v>
      </c>
    </row>
    <row r="36" customFormat="false" ht="25.5" hidden="false" customHeight="true" outlineLevel="0" collapsed="false">
      <c r="A36" s="12" t="s">
        <v>590</v>
      </c>
      <c r="B36" s="13" t="s">
        <v>591</v>
      </c>
      <c r="C36" s="22" t="n">
        <f aca="false">st_one*m_gone*1000000/a_wi+(c_gone*m_gone+c_gtwo*m_gtwo)*1000000*(cs_htot-ell_x)/ell_j+m_q*1000000*(cs_htot-els_x)/els_j</f>
        <v>15.0197750498625</v>
      </c>
      <c r="D36" s="15" t="s">
        <v>185</v>
      </c>
      <c r="E36" s="16" t="s">
        <v>592</v>
      </c>
    </row>
    <row r="37" customFormat="false" ht="25.5" hidden="false" customHeight="true" outlineLevel="0" collapsed="false">
      <c r="A37" s="12" t="s">
        <v>593</v>
      </c>
      <c r="B37" s="13" t="s">
        <v>594</v>
      </c>
      <c r="C37" s="20" t="n">
        <f aca="false">(c_gone*m_gone+c_gtwo*m_gtwo)*1000000*ell_x/(n_lt*ell_j)+m_q*1000000*els_x/(n_zero*els_j)</f>
        <v>1.00737242703975</v>
      </c>
      <c r="D37" s="15" t="s">
        <v>185</v>
      </c>
      <c r="E37" s="16" t="s">
        <v>595</v>
      </c>
    </row>
    <row r="38" customFormat="false" ht="15" hidden="false" customHeight="true" outlineLevel="0" collapsed="false">
      <c r="A38" s="12" t="s">
        <v>596</v>
      </c>
      <c r="B38" s="13"/>
      <c r="C38" s="37" t="n">
        <f aca="false">vt_sa/fyd_a</f>
        <v>0.0573482320085661</v>
      </c>
      <c r="D38" s="15" t="s">
        <v>74</v>
      </c>
      <c r="E38" s="16"/>
    </row>
    <row r="39" customFormat="false" ht="15" hidden="false" customHeight="true" outlineLevel="0" collapsed="false">
      <c r="A39" s="12" t="s">
        <v>597</v>
      </c>
      <c r="B39" s="13"/>
      <c r="C39" s="37" t="n">
        <f aca="false">vt_sc/fcd_c</f>
        <v>0.106662962863032</v>
      </c>
      <c r="D39" s="15" t="s">
        <v>74</v>
      </c>
      <c r="E39" s="16"/>
    </row>
    <row r="40" customFormat="false" ht="15" hidden="false" customHeight="true" outlineLevel="0" collapsed="false">
      <c r="A40" s="12" t="s">
        <v>598</v>
      </c>
      <c r="B40" s="13"/>
      <c r="C40" s="33" t="str">
        <f aca="false">IF(NOT(AND(sc_n=2,an_crit="ELASTICA")),"N.A.",IF(vt_rsa&lt;=1,"VERIFICATA","NON VERIFICATA"))</f>
        <v>VERIFICATA</v>
      </c>
      <c r="D40" s="15"/>
      <c r="E40" s="16" t="s">
        <v>599</v>
      </c>
    </row>
    <row r="41" customFormat="false" ht="25.5" hidden="false" customHeight="true" outlineLevel="0" collapsed="false">
      <c r="A41" s="12" t="s">
        <v>600</v>
      </c>
      <c r="B41" s="13"/>
      <c r="C41" s="33" t="str">
        <f aca="false">IF(NOT(AND(sc_n=2,an_crit="ELASTICA")),"N.A.",IF(vt_rsc&lt;=1,"VERIFICATA","NON VERIFICATA"))</f>
        <v>VERIFICATA</v>
      </c>
      <c r="D41" s="15"/>
      <c r="E41" s="16" t="s">
        <v>601</v>
      </c>
    </row>
    <row r="43" customFormat="false" ht="15" hidden="false" customHeight="false" outlineLevel="0" collapsed="false">
      <c r="A43" s="9" t="s">
        <v>602</v>
      </c>
      <c r="B43" s="10"/>
      <c r="C43" s="10"/>
      <c r="D43" s="10"/>
      <c r="E43" s="10"/>
    </row>
    <row r="44" customFormat="false" ht="15" hidden="false" customHeight="false" outlineLevel="0" collapsed="false">
      <c r="A44" s="11" t="s">
        <v>34</v>
      </c>
      <c r="B44" s="11" t="s">
        <v>35</v>
      </c>
      <c r="C44" s="11" t="s">
        <v>36</v>
      </c>
      <c r="D44" s="11" t="s">
        <v>37</v>
      </c>
      <c r="E44" s="11" t="s">
        <v>38</v>
      </c>
    </row>
    <row r="45" customFormat="false" ht="25.5" hidden="false" customHeight="true" outlineLevel="0" collapsed="false">
      <c r="A45" s="12" t="s">
        <v>603</v>
      </c>
      <c r="B45" s="13" t="s">
        <v>604</v>
      </c>
      <c r="C45" s="20" t="n">
        <f aca="false">IF(st_one=1,5*ln_gone*lu_mm^4/(384*e_acc*a_iy),c_gone*5*ln_gone*lu_mm^4/(384*e_acc*ell_j))</f>
        <v>0</v>
      </c>
      <c r="D45" s="15" t="s">
        <v>63</v>
      </c>
      <c r="E45" s="16" t="s">
        <v>605</v>
      </c>
    </row>
    <row r="46" customFormat="false" ht="15" hidden="false" customHeight="true" outlineLevel="0" collapsed="false">
      <c r="A46" s="12" t="s">
        <v>606</v>
      </c>
      <c r="B46" s="13" t="s">
        <v>607</v>
      </c>
      <c r="C46" s="20" t="n">
        <f aca="false">c_gtwo*5*ln_gtwo*lu_mm^4/(384*e_acc*ell_j)</f>
        <v>0</v>
      </c>
      <c r="D46" s="15" t="s">
        <v>63</v>
      </c>
      <c r="E46" s="16" t="s">
        <v>608</v>
      </c>
    </row>
    <row r="47" customFormat="false" ht="15" hidden="false" customHeight="true" outlineLevel="0" collapsed="false">
      <c r="A47" s="12" t="s">
        <v>609</v>
      </c>
      <c r="B47" s="13" t="s">
        <v>610</v>
      </c>
      <c r="C47" s="20" t="n">
        <f aca="false">5*ln_q*lu_mm^4/(384*e_acc*els_j)</f>
        <v>0.382801042126307</v>
      </c>
      <c r="D47" s="15" t="s">
        <v>63</v>
      </c>
      <c r="E47" s="16" t="s">
        <v>611</v>
      </c>
    </row>
    <row r="48" customFormat="false" ht="15" hidden="false" customHeight="true" outlineLevel="0" collapsed="false">
      <c r="A48" s="12" t="s">
        <v>612</v>
      </c>
      <c r="B48" s="13" t="s">
        <v>613</v>
      </c>
      <c r="C48" s="21" t="n">
        <f aca="false">vt_fone+vt_ftwo+vt_fq</f>
        <v>0.382801042126307</v>
      </c>
      <c r="D48" s="15" t="s">
        <v>63</v>
      </c>
      <c r="E48" s="16" t="s">
        <v>614</v>
      </c>
    </row>
    <row r="49" customFormat="false" ht="15" hidden="false" customHeight="true" outlineLevel="0" collapsed="false">
      <c r="A49" s="12" t="s">
        <v>615</v>
      </c>
      <c r="B49" s="13"/>
      <c r="C49" s="37" t="n">
        <f aca="false">vt_ftot/(lu_mm/lim_tot)</f>
        <v>0.0159500434219295</v>
      </c>
      <c r="D49" s="15" t="s">
        <v>74</v>
      </c>
      <c r="E49" s="16"/>
    </row>
    <row r="50" customFormat="false" ht="15" hidden="false" customHeight="true" outlineLevel="0" collapsed="false">
      <c r="A50" s="12" t="s">
        <v>616</v>
      </c>
      <c r="B50" s="13"/>
      <c r="C50" s="33" t="str">
        <f aca="false">IF(NOT(1),"N.A.",IF(vt_rft&lt;=1,"VERIFICATA","NON VERIFICATA"))</f>
        <v>VERIFICATA</v>
      </c>
      <c r="D50" s="15"/>
      <c r="E50" s="16"/>
    </row>
    <row r="51" customFormat="false" ht="15" hidden="false" customHeight="true" outlineLevel="0" collapsed="false">
      <c r="A51" s="12" t="s">
        <v>617</v>
      </c>
      <c r="B51" s="13"/>
      <c r="C51" s="37" t="n">
        <f aca="false">vt_fq/(lu_mm/lim_q)</f>
        <v>0.0191400521063154</v>
      </c>
      <c r="D51" s="15" t="s">
        <v>74</v>
      </c>
      <c r="E51" s="16"/>
    </row>
    <row r="52" customFormat="false" ht="15" hidden="false" customHeight="true" outlineLevel="0" collapsed="false">
      <c r="A52" s="12" t="s">
        <v>618</v>
      </c>
      <c r="B52" s="13"/>
      <c r="C52" s="33" t="str">
        <f aca="false">IF(NOT(1),"N.A.",IF(vt_rfq&lt;=1,"VERIFICATA","NON VERIFICATA"))</f>
        <v>VERIFICATA</v>
      </c>
      <c r="D52" s="15"/>
      <c r="E52" s="16"/>
    </row>
    <row r="53" customFormat="false" ht="15" hidden="false" customHeight="true" outlineLevel="0" collapsed="false">
      <c r="A53" s="12" t="s">
        <v>619</v>
      </c>
      <c r="B53" s="13"/>
      <c r="C53" s="20" t="n">
        <f aca="false">vt_fone+vt_ftwo+psi_two*vt_fq</f>
        <v>0.114840312637892</v>
      </c>
      <c r="D53" s="15" t="s">
        <v>63</v>
      </c>
      <c r="E53" s="16" t="s">
        <v>620</v>
      </c>
    </row>
  </sheetData>
  <mergeCells count="3">
    <mergeCell ref="A1:E1"/>
    <mergeCell ref="A2:E2"/>
    <mergeCell ref="A3:E3"/>
  </mergeCells>
  <conditionalFormatting sqref="C8:C80">
    <cfRule type="expression" priority="2" aboveAverage="0" equalAverage="0" bottom="0" percent="0" rank="0" text="" dxfId="0">
      <formula>ISNUMBER(SEARCH("NON",C8))</formula>
    </cfRule>
    <cfRule type="expression" priority="3" aboveAverage="0" equalAverage="0" bottom="0" percent="0" rank="0" text="" dxfId="1">
      <formula>ISNUMBER(SEARCH("N.A.",C8))</formula>
    </cfRule>
    <cfRule type="expression" priority="4" aboveAverage="0" equalAverage="0" bottom="0" percent="0" rank="0" text="" dxfId="2">
      <formula>OR(ISNUMBER(SEARCH("VERIFICATA",C8)),C8="OK")</formula>
    </cfRule>
    <cfRule type="expression" priority="5" aboveAverage="0" equalAverage="0" bottom="0" percent="0" rank="0" text="" dxfId="3">
      <formula>ISNUMBER(SEARCH("ATTENZIONE",C8))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95"/>
  </cols>
  <sheetData>
    <row r="1" customFormat="false" ht="25.5" hidden="false" customHeight="true" outlineLevel="0" collapsed="false">
      <c r="A1" s="6" t="s">
        <v>621</v>
      </c>
      <c r="B1" s="6"/>
      <c r="C1" s="6"/>
      <c r="D1" s="6"/>
      <c r="E1" s="6"/>
    </row>
    <row r="2" customFormat="false" ht="42" hidden="false" customHeight="true" outlineLevel="0" collapsed="false">
      <c r="A2" s="7" t="s">
        <v>622</v>
      </c>
      <c r="B2" s="7"/>
      <c r="C2" s="7"/>
      <c r="D2" s="7"/>
      <c r="E2" s="7"/>
    </row>
    <row r="3" customFormat="false" ht="15" hidden="false" customHeight="false" outlineLevel="0" collapsed="false">
      <c r="A3" s="8" t="s">
        <v>32</v>
      </c>
      <c r="B3" s="8"/>
      <c r="C3" s="8"/>
      <c r="D3" s="8"/>
      <c r="E3" s="8"/>
    </row>
    <row r="6" customFormat="false" ht="15" hidden="false" customHeight="false" outlineLevel="0" collapsed="false">
      <c r="A6" s="9" t="s">
        <v>623</v>
      </c>
      <c r="B6" s="10"/>
      <c r="C6" s="10"/>
      <c r="D6" s="10"/>
      <c r="E6" s="10"/>
    </row>
    <row r="7" customFormat="false" ht="15" hidden="false" customHeight="false" outlineLevel="0" collapsed="false">
      <c r="A7" s="11" t="s">
        <v>34</v>
      </c>
      <c r="B7" s="11" t="s">
        <v>35</v>
      </c>
      <c r="C7" s="11" t="s">
        <v>36</v>
      </c>
      <c r="D7" s="11" t="s">
        <v>37</v>
      </c>
      <c r="E7" s="11" t="s">
        <v>38</v>
      </c>
    </row>
    <row r="8" customFormat="false" ht="25.5" hidden="false" customHeight="true" outlineLevel="0" collapsed="false">
      <c r="A8" s="12" t="s">
        <v>624</v>
      </c>
      <c r="B8" s="13" t="s">
        <v>625</v>
      </c>
      <c r="C8" s="26" t="n">
        <v>19</v>
      </c>
      <c r="D8" s="15" t="s">
        <v>63</v>
      </c>
      <c r="E8" s="16" t="s">
        <v>626</v>
      </c>
    </row>
    <row r="9" customFormat="false" ht="25.5" hidden="false" customHeight="true" outlineLevel="0" collapsed="false">
      <c r="A9" s="12" t="s">
        <v>627</v>
      </c>
      <c r="B9" s="13" t="s">
        <v>628</v>
      </c>
      <c r="C9" s="26" t="n">
        <v>100</v>
      </c>
      <c r="D9" s="15" t="s">
        <v>63</v>
      </c>
      <c r="E9" s="16" t="s">
        <v>629</v>
      </c>
    </row>
    <row r="10" customFormat="false" ht="15" hidden="false" customHeight="true" outlineLevel="0" collapsed="false">
      <c r="A10" s="12" t="s">
        <v>630</v>
      </c>
      <c r="B10" s="13" t="s">
        <v>631</v>
      </c>
      <c r="C10" s="26" t="n">
        <v>450</v>
      </c>
      <c r="D10" s="15" t="s">
        <v>185</v>
      </c>
      <c r="E10" s="16" t="s">
        <v>632</v>
      </c>
    </row>
    <row r="11" customFormat="false" ht="15" hidden="false" customHeight="true" outlineLevel="0" collapsed="false">
      <c r="A11" s="12" t="s">
        <v>633</v>
      </c>
      <c r="B11" s="13" t="s">
        <v>634</v>
      </c>
      <c r="C11" s="26" t="n">
        <v>1</v>
      </c>
      <c r="D11" s="15" t="s">
        <v>74</v>
      </c>
      <c r="E11" s="16" t="s">
        <v>635</v>
      </c>
    </row>
    <row r="12" customFormat="false" ht="15" hidden="false" customHeight="true" outlineLevel="0" collapsed="false">
      <c r="A12" s="12" t="s">
        <v>636</v>
      </c>
      <c r="B12" s="13" t="s">
        <v>637</v>
      </c>
      <c r="C12" s="26" t="n">
        <v>0</v>
      </c>
      <c r="D12" s="15" t="s">
        <v>63</v>
      </c>
      <c r="E12" s="16" t="s">
        <v>638</v>
      </c>
    </row>
    <row r="13" customFormat="false" ht="25.5" hidden="false" customHeight="true" outlineLevel="0" collapsed="false">
      <c r="A13" s="12" t="s">
        <v>639</v>
      </c>
      <c r="B13" s="13" t="s">
        <v>640</v>
      </c>
      <c r="C13" s="26" t="n">
        <v>150</v>
      </c>
      <c r="D13" s="15" t="s">
        <v>63</v>
      </c>
      <c r="E13" s="16" t="s">
        <v>641</v>
      </c>
    </row>
    <row r="14" customFormat="false" ht="15" hidden="false" customHeight="true" outlineLevel="0" collapsed="false">
      <c r="A14" s="12" t="s">
        <v>642</v>
      </c>
      <c r="B14" s="13" t="s">
        <v>643</v>
      </c>
      <c r="C14" s="18" t="n">
        <v>1.25</v>
      </c>
      <c r="D14" s="15" t="s">
        <v>74</v>
      </c>
      <c r="E14" s="16" t="s">
        <v>644</v>
      </c>
    </row>
    <row r="16" customFormat="false" ht="15" hidden="false" customHeight="false" outlineLevel="0" collapsed="false">
      <c r="A16" s="9" t="s">
        <v>645</v>
      </c>
      <c r="B16" s="10"/>
      <c r="C16" s="10"/>
      <c r="D16" s="10"/>
      <c r="E16" s="10"/>
    </row>
    <row r="17" customFormat="false" ht="15" hidden="false" customHeight="false" outlineLevel="0" collapsed="false">
      <c r="A17" s="11" t="s">
        <v>34</v>
      </c>
      <c r="B17" s="11" t="s">
        <v>35</v>
      </c>
      <c r="C17" s="11" t="s">
        <v>36</v>
      </c>
      <c r="D17" s="11" t="s">
        <v>37</v>
      </c>
      <c r="E17" s="11" t="s">
        <v>38</v>
      </c>
    </row>
    <row r="18" customFormat="false" ht="15" hidden="false" customHeight="true" outlineLevel="0" collapsed="false">
      <c r="A18" s="12" t="s">
        <v>646</v>
      </c>
      <c r="B18" s="13" t="s">
        <v>647</v>
      </c>
      <c r="C18" s="19" t="n">
        <f aca="false">IF(AND(dk_or="TRASVERSALE",dk_hp&gt;0),MIN(st_fu,450),MIN(st_fu,500))</f>
        <v>450</v>
      </c>
      <c r="D18" s="15" t="s">
        <v>185</v>
      </c>
      <c r="E18" s="16" t="s">
        <v>648</v>
      </c>
    </row>
    <row r="19" customFormat="false" ht="15" hidden="false" customHeight="true" outlineLevel="0" collapsed="false">
      <c r="A19" s="12" t="s">
        <v>649</v>
      </c>
      <c r="B19" s="13"/>
      <c r="C19" s="20" t="n">
        <f aca="false">st_h/st_d</f>
        <v>5.26315789473684</v>
      </c>
      <c r="D19" s="15" t="s">
        <v>74</v>
      </c>
      <c r="E19" s="16" t="s">
        <v>650</v>
      </c>
    </row>
    <row r="20" customFormat="false" ht="15" hidden="false" customHeight="true" outlineLevel="0" collapsed="false">
      <c r="A20" s="12" t="s">
        <v>651</v>
      </c>
      <c r="B20" s="13" t="s">
        <v>508</v>
      </c>
      <c r="C20" s="25" t="n">
        <f aca="false">IF(st_hd&gt;4,1,0.2*(st_hd+1))</f>
        <v>1</v>
      </c>
      <c r="D20" s="15" t="s">
        <v>74</v>
      </c>
      <c r="E20" s="16" t="s">
        <v>652</v>
      </c>
    </row>
    <row r="21" customFormat="false" ht="15" hidden="false" customHeight="true" outlineLevel="0" collapsed="false">
      <c r="A21" s="12" t="s">
        <v>653</v>
      </c>
      <c r="B21" s="13" t="s">
        <v>654</v>
      </c>
      <c r="C21" s="20" t="n">
        <f aca="false">0.8*st_fue*PI()*st_d^2/4/st_gv/1000</f>
        <v>81.6562762521059</v>
      </c>
      <c r="D21" s="15" t="s">
        <v>139</v>
      </c>
      <c r="E21" s="16" t="s">
        <v>655</v>
      </c>
    </row>
    <row r="22" customFormat="false" ht="15" hidden="false" customHeight="true" outlineLevel="0" collapsed="false">
      <c r="A22" s="12" t="s">
        <v>656</v>
      </c>
      <c r="B22" s="13" t="s">
        <v>657</v>
      </c>
      <c r="C22" s="20" t="n">
        <f aca="false">0.29*st_alfa*st_d^2*SQRT(new_fck*ecm_c)/st_gv/1000</f>
        <v>68.9177405681336</v>
      </c>
      <c r="D22" s="15" t="s">
        <v>139</v>
      </c>
      <c r="E22" s="16" t="s">
        <v>658</v>
      </c>
    </row>
    <row r="23" customFormat="false" ht="15" hidden="false" customHeight="true" outlineLevel="0" collapsed="false">
      <c r="A23" s="12" t="s">
        <v>659</v>
      </c>
      <c r="B23" s="13" t="s">
        <v>660</v>
      </c>
      <c r="C23" s="21" t="n">
        <f aca="false">MIN(st_pa,st_pc)</f>
        <v>68.9177405681336</v>
      </c>
      <c r="D23" s="15" t="s">
        <v>139</v>
      </c>
      <c r="E23" s="16"/>
    </row>
    <row r="25" customFormat="false" ht="15" hidden="false" customHeight="false" outlineLevel="0" collapsed="false">
      <c r="A25" s="9" t="s">
        <v>661</v>
      </c>
      <c r="B25" s="10"/>
      <c r="C25" s="10"/>
      <c r="D25" s="10"/>
      <c r="E25" s="10"/>
    </row>
    <row r="26" customFormat="false" ht="15" hidden="false" customHeight="false" outlineLevel="0" collapsed="false">
      <c r="A26" s="11" t="s">
        <v>34</v>
      </c>
      <c r="B26" s="11" t="s">
        <v>35</v>
      </c>
      <c r="C26" s="11" t="s">
        <v>36</v>
      </c>
      <c r="D26" s="11" t="s">
        <v>37</v>
      </c>
      <c r="E26" s="11" t="s">
        <v>38</v>
      </c>
    </row>
    <row r="27" customFormat="false" ht="15" hidden="false" customHeight="true" outlineLevel="0" collapsed="false">
      <c r="A27" s="12" t="s">
        <v>662</v>
      </c>
      <c r="B27" s="13"/>
      <c r="C27" s="19" t="n">
        <f aca="false">MIN(st_h,dk_hp+75)</f>
        <v>100</v>
      </c>
      <c r="D27" s="15" t="s">
        <v>63</v>
      </c>
      <c r="E27" s="16" t="s">
        <v>663</v>
      </c>
    </row>
    <row r="28" customFormat="false" ht="15" hidden="false" customHeight="true" outlineLevel="0" collapsed="false">
      <c r="A28" s="12" t="s">
        <v>664</v>
      </c>
      <c r="B28" s="13" t="s">
        <v>665</v>
      </c>
      <c r="C28" s="25" t="n">
        <f aca="false">IF(dk_hp&gt;0,MIN(1,0.6*dk_b/dk_hp*(st_hsce/dk_hp-1)),1)</f>
        <v>1</v>
      </c>
      <c r="D28" s="15" t="s">
        <v>74</v>
      </c>
      <c r="E28" s="16" t="s">
        <v>666</v>
      </c>
    </row>
    <row r="29" customFormat="false" ht="15" hidden="false" customHeight="true" outlineLevel="0" collapsed="false">
      <c r="A29" s="12" t="s">
        <v>667</v>
      </c>
      <c r="B29" s="13"/>
      <c r="C29" s="20" t="n">
        <f aca="false">IF(dk_thr="SI",INDEX(tb_ktp,MATCH(st_nr&amp;"_"&amp;IF(dk_t&lt;=1,"&lt;=1","&gt;1"),tb_ktk,0)),INDEX(tb_ktf,MATCH(st_nr&amp;"_"&amp;IF(dk_t&lt;=1,"&lt;=1","&gt;1"),tb_ktk,0)))</f>
        <v>0.85</v>
      </c>
      <c r="D29" s="15" t="s">
        <v>74</v>
      </c>
      <c r="E29" s="16" t="s">
        <v>668</v>
      </c>
    </row>
    <row r="30" customFormat="false" ht="15" hidden="false" customHeight="true" outlineLevel="0" collapsed="false">
      <c r="A30" s="12" t="s">
        <v>669</v>
      </c>
      <c r="B30" s="13" t="s">
        <v>670</v>
      </c>
      <c r="C30" s="25" t="n">
        <f aca="false">IF(dk_hp&gt;0,MIN(st_ktm,0.7/SQRT(st_nr)*dk_b/dk_hp*(st_hsce/dk_hp-1)),1)</f>
        <v>0.85</v>
      </c>
      <c r="D30" s="15" t="s">
        <v>74</v>
      </c>
      <c r="E30" s="16" t="s">
        <v>671</v>
      </c>
    </row>
    <row r="31" customFormat="false" ht="15" hidden="false" customHeight="true" outlineLevel="0" collapsed="false">
      <c r="A31" s="12" t="s">
        <v>672</v>
      </c>
      <c r="B31" s="13" t="s">
        <v>673</v>
      </c>
      <c r="C31" s="25" t="n">
        <f aca="false">IF(OR(dk_or="SOLETTA PIENA",dk_hp=0),1,IF(dk_or="TRASVERSALE",st_kt,st_kl))</f>
        <v>0.85</v>
      </c>
      <c r="D31" s="15" t="s">
        <v>74</v>
      </c>
      <c r="E31" s="16"/>
    </row>
    <row r="32" customFormat="false" ht="15" hidden="false" customHeight="true" outlineLevel="0" collapsed="false">
      <c r="A32" s="12" t="s">
        <v>674</v>
      </c>
      <c r="B32" s="13" t="s">
        <v>675</v>
      </c>
      <c r="C32" s="21" t="n">
        <f aca="false">st_k*st_p</f>
        <v>58.5800794829136</v>
      </c>
      <c r="D32" s="15" t="s">
        <v>139</v>
      </c>
      <c r="E32" s="16" t="s">
        <v>676</v>
      </c>
    </row>
    <row r="34" customFormat="false" ht="15" hidden="false" customHeight="false" outlineLevel="0" collapsed="false">
      <c r="A34" s="9" t="s">
        <v>677</v>
      </c>
      <c r="B34" s="10"/>
      <c r="C34" s="10"/>
      <c r="D34" s="10"/>
      <c r="E34" s="10"/>
    </row>
    <row r="35" customFormat="false" ht="15" hidden="false" customHeight="false" outlineLevel="0" collapsed="false">
      <c r="A35" s="11" t="s">
        <v>34</v>
      </c>
      <c r="B35" s="11" t="s">
        <v>35</v>
      </c>
      <c r="C35" s="11" t="s">
        <v>36</v>
      </c>
      <c r="D35" s="11" t="s">
        <v>37</v>
      </c>
      <c r="E35" s="11" t="s">
        <v>38</v>
      </c>
    </row>
    <row r="36" customFormat="false" ht="15" hidden="false" customHeight="true" outlineLevel="0" collapsed="false">
      <c r="A36" s="12" t="s">
        <v>678</v>
      </c>
      <c r="B36" s="13" t="s">
        <v>679</v>
      </c>
      <c r="C36" s="24" t="n">
        <f aca="false">cs_ncf/st_pr</f>
        <v>33.8567880214609</v>
      </c>
      <c r="D36" s="15" t="s">
        <v>74</v>
      </c>
      <c r="E36" s="16" t="s">
        <v>680</v>
      </c>
    </row>
    <row r="37" customFormat="false" ht="15" hidden="false" customHeight="true" outlineLevel="0" collapsed="false">
      <c r="A37" s="12" t="s">
        <v>681</v>
      </c>
      <c r="B37" s="13" t="s">
        <v>682</v>
      </c>
      <c r="C37" s="17" t="n">
        <f aca="false">st_nr*INT(lu_mm/2/st_s)</f>
        <v>20</v>
      </c>
      <c r="D37" s="15" t="s">
        <v>74</v>
      </c>
      <c r="E37" s="16" t="s">
        <v>683</v>
      </c>
    </row>
    <row r="38" customFormat="false" ht="15" hidden="false" customHeight="true" outlineLevel="0" collapsed="false">
      <c r="A38" s="12" t="s">
        <v>554</v>
      </c>
      <c r="B38" s="13" t="s">
        <v>555</v>
      </c>
      <c r="C38" s="37" t="n">
        <f aca="false">st_np*st_pr/cs_ncf</f>
        <v>0.590723490584002</v>
      </c>
      <c r="D38" s="15" t="s">
        <v>74</v>
      </c>
      <c r="E38" s="16" t="s">
        <v>684</v>
      </c>
    </row>
    <row r="39" customFormat="false" ht="15" hidden="false" customHeight="true" outlineLevel="0" collapsed="false">
      <c r="A39" s="12" t="s">
        <v>685</v>
      </c>
      <c r="B39" s="13"/>
      <c r="C39" s="19" t="n">
        <f aca="false">st_nr*(INT(lu_mm/st_s)+1)</f>
        <v>41</v>
      </c>
      <c r="D39" s="15" t="s">
        <v>74</v>
      </c>
      <c r="E39" s="16"/>
    </row>
    <row r="40" customFormat="false" ht="15" hidden="false" customHeight="true" outlineLevel="0" collapsed="false">
      <c r="A40" s="12" t="s">
        <v>686</v>
      </c>
      <c r="B40" s="13" t="s">
        <v>576</v>
      </c>
      <c r="C40" s="22" t="n">
        <f aca="false">vt_flow</f>
        <v>61.4460123816216</v>
      </c>
      <c r="D40" s="15" t="s">
        <v>577</v>
      </c>
      <c r="E40" s="16" t="s">
        <v>687</v>
      </c>
    </row>
    <row r="41" customFormat="false" ht="15" hidden="false" customHeight="true" outlineLevel="0" collapsed="false">
      <c r="A41" s="12" t="s">
        <v>688</v>
      </c>
      <c r="B41" s="13"/>
      <c r="C41" s="25" t="n">
        <f aca="false">st_v*st_s/(st_nr*st_pr*1000)</f>
        <v>0.157338500367375</v>
      </c>
      <c r="D41" s="15" t="s">
        <v>74</v>
      </c>
      <c r="E41" s="16"/>
    </row>
    <row r="43" customFormat="false" ht="15" hidden="false" customHeight="false" outlineLevel="0" collapsed="false">
      <c r="A43" s="9" t="s">
        <v>689</v>
      </c>
      <c r="B43" s="10"/>
      <c r="C43" s="10"/>
      <c r="D43" s="10"/>
      <c r="E43" s="10"/>
    </row>
    <row r="44" customFormat="false" ht="15" hidden="false" customHeight="false" outlineLevel="0" collapsed="false">
      <c r="A44" s="11" t="s">
        <v>34</v>
      </c>
      <c r="B44" s="11" t="s">
        <v>35</v>
      </c>
      <c r="C44" s="11" t="s">
        <v>36</v>
      </c>
      <c r="D44" s="11" t="s">
        <v>37</v>
      </c>
      <c r="E44" s="11" t="s">
        <v>38</v>
      </c>
    </row>
    <row r="45" customFormat="false" ht="15" hidden="false" customHeight="true" outlineLevel="0" collapsed="false">
      <c r="A45" s="12" t="s">
        <v>690</v>
      </c>
      <c r="B45" s="13"/>
      <c r="C45" s="33" t="str">
        <f aca="false">IF(sc_n&lt;&gt;1,"N.A.",IF(st_hd&gt;=3,"OK","NON VERIFICATA"))</f>
        <v>N.A.</v>
      </c>
      <c r="D45" s="15"/>
      <c r="E45" s="16" t="s">
        <v>691</v>
      </c>
    </row>
    <row r="46" customFormat="false" ht="15" hidden="false" customHeight="true" outlineLevel="0" collapsed="false">
      <c r="A46" s="12" t="s">
        <v>692</v>
      </c>
      <c r="B46" s="13"/>
      <c r="C46" s="33" t="str">
        <f aca="false">IF(sc_n&lt;&gt;1,"N.A.",IF(OR(dk_hp=0,st_h&gt;=dk_hp+2*st_d),"OK","NON VERIFICATA"))</f>
        <v>N.A.</v>
      </c>
      <c r="D46" s="15"/>
      <c r="E46" s="16" t="s">
        <v>693</v>
      </c>
    </row>
    <row r="47" customFormat="false" ht="15" hidden="false" customHeight="true" outlineLevel="0" collapsed="false">
      <c r="A47" s="12" t="s">
        <v>694</v>
      </c>
      <c r="B47" s="13"/>
      <c r="C47" s="33" t="str">
        <f aca="false">IF(sc_n&lt;&gt;1,"N.A.",IF(OR(dk_hp=0,dk_thr="NO",st_d&lt;=20),"OK","NON VERIFICATA"))</f>
        <v>N.A.</v>
      </c>
      <c r="D47" s="15"/>
      <c r="E47" s="16" t="s">
        <v>695</v>
      </c>
    </row>
    <row r="48" customFormat="false" ht="15" hidden="false" customHeight="true" outlineLevel="0" collapsed="false">
      <c r="A48" s="12" t="s">
        <v>696</v>
      </c>
      <c r="B48" s="13"/>
      <c r="C48" s="33" t="str">
        <f aca="false">IF(sc_n&lt;&gt;1,"N.A.",IF(st_d&lt;=2.5*a_ts,"OK","ATTENZIONE: ammesso solo se il piolo e' in asse all'anima"))</f>
        <v>N.A.</v>
      </c>
      <c r="D48" s="15"/>
      <c r="E48" s="16" t="s">
        <v>697</v>
      </c>
    </row>
    <row r="49" customFormat="false" ht="15" hidden="false" customHeight="true" outlineLevel="0" collapsed="false">
      <c r="A49" s="12" t="s">
        <v>698</v>
      </c>
      <c r="B49" s="13"/>
      <c r="C49" s="33" t="str">
        <f aca="false">IF(sc_n&lt;&gt;1,"N.A.",IF(st_s&gt;=5*st_d,"OK","NON VERIFICATA"))</f>
        <v>N.A.</v>
      </c>
      <c r="D49" s="15"/>
      <c r="E49" s="16" t="s">
        <v>699</v>
      </c>
    </row>
    <row r="50" customFormat="false" ht="15" hidden="false" customHeight="true" outlineLevel="0" collapsed="false">
      <c r="A50" s="12" t="s">
        <v>700</v>
      </c>
      <c r="B50" s="13"/>
      <c r="C50" s="33" t="str">
        <f aca="false">IF(sc_n&lt;&gt;1,"N.A.",IF(st_s&lt;=MIN(6*sl_h,800),"OK","NON VERIFICATA"))</f>
        <v>N.A.</v>
      </c>
      <c r="D50" s="15"/>
      <c r="E50" s="16" t="s">
        <v>701</v>
      </c>
    </row>
    <row r="51" customFormat="false" ht="15" hidden="false" customHeight="true" outlineLevel="0" collapsed="false">
      <c r="A51" s="12" t="s">
        <v>702</v>
      </c>
      <c r="B51" s="13"/>
      <c r="C51" s="33" t="str">
        <f aca="false">IF(sc_n&lt;&gt;1,"N.A.",IF(OR(st_nr=1,st_et&gt;=IF(dk_hp&gt;0,4,2.5)*st_d),"OK","NON VERIFICATA"))</f>
        <v>N.A.</v>
      </c>
      <c r="D51" s="15"/>
      <c r="E51" s="16" t="s">
        <v>703</v>
      </c>
    </row>
    <row r="52" customFormat="false" ht="15" hidden="false" customHeight="true" outlineLevel="0" collapsed="false">
      <c r="A52" s="12" t="s">
        <v>704</v>
      </c>
      <c r="B52" s="13"/>
      <c r="C52" s="33" t="str">
        <f aca="false">IF(sc_n&lt;&gt;1,"N.A.",IF((a_bs-st_et-st_d)/2&gt;=20,"OK","NON VERIFICATA"))</f>
        <v>N.A.</v>
      </c>
      <c r="D52" s="15"/>
      <c r="E52" s="16" t="s">
        <v>705</v>
      </c>
    </row>
    <row r="53" customFormat="false" ht="15" hidden="false" customHeight="true" outlineLevel="0" collapsed="false">
      <c r="A53" s="12" t="s">
        <v>706</v>
      </c>
      <c r="B53" s="13"/>
      <c r="C53" s="33" t="str">
        <f aca="false">IF(sc_n&lt;&gt;1,"N.A.",IF(st_s&lt;=22*a_ts*eps_a,"OK","ATTENZIONE: ala compressa non stabilizzata dai pioli"))</f>
        <v>N.A.</v>
      </c>
      <c r="D53" s="15"/>
      <c r="E53" s="16" t="s">
        <v>707</v>
      </c>
    </row>
    <row r="55" customFormat="false" ht="15" hidden="false" customHeight="false" outlineLevel="0" collapsed="false">
      <c r="A55" s="9" t="s">
        <v>708</v>
      </c>
      <c r="B55" s="10"/>
      <c r="C55" s="10"/>
      <c r="D55" s="10"/>
      <c r="E55" s="10"/>
    </row>
    <row r="56" customFormat="false" ht="15" hidden="false" customHeight="false" outlineLevel="0" collapsed="false">
      <c r="A56" s="11" t="s">
        <v>34</v>
      </c>
      <c r="B56" s="11" t="s">
        <v>35</v>
      </c>
      <c r="C56" s="11" t="s">
        <v>36</v>
      </c>
      <c r="D56" s="11" t="s">
        <v>37</v>
      </c>
      <c r="E56" s="11" t="s">
        <v>38</v>
      </c>
    </row>
    <row r="57" customFormat="false" ht="15" hidden="false" customHeight="true" outlineLevel="0" collapsed="false">
      <c r="A57" s="12" t="s">
        <v>709</v>
      </c>
      <c r="B57" s="13" t="s">
        <v>710</v>
      </c>
      <c r="C57" s="22" t="n">
        <f aca="false">MIN(1,st_eta)*cs_ncf*MAX(sl_be1,sl_be2)/sl_beff</f>
        <v>585.800794829136</v>
      </c>
      <c r="D57" s="15" t="s">
        <v>139</v>
      </c>
      <c r="E57" s="16" t="s">
        <v>711</v>
      </c>
    </row>
    <row r="58" customFormat="false" ht="15" hidden="false" customHeight="true" outlineLevel="0" collapsed="false">
      <c r="A58" s="12" t="s">
        <v>712</v>
      </c>
      <c r="B58" s="13" t="s">
        <v>576</v>
      </c>
      <c r="C58" s="25" t="n">
        <f aca="false">tr_df*1000/(sl_hc*lu_mm/2)</f>
        <v>3.00410664014941</v>
      </c>
      <c r="D58" s="15" t="s">
        <v>185</v>
      </c>
      <c r="E58" s="16" t="s">
        <v>713</v>
      </c>
    </row>
    <row r="59" customFormat="false" ht="15" hidden="false" customHeight="true" outlineLevel="0" collapsed="false">
      <c r="A59" s="12" t="s">
        <v>714</v>
      </c>
      <c r="B59" s="13" t="s">
        <v>715</v>
      </c>
      <c r="C59" s="17" t="n">
        <f aca="false">tr_v*sl_hc/(fyd_s*sl_cot)*1000</f>
        <v>499.015491891486</v>
      </c>
      <c r="D59" s="15" t="s">
        <v>404</v>
      </c>
      <c r="E59" s="16" t="s">
        <v>716</v>
      </c>
    </row>
    <row r="60" customFormat="false" ht="15" hidden="false" customHeight="true" outlineLevel="0" collapsed="false">
      <c r="A60" s="12" t="s">
        <v>717</v>
      </c>
      <c r="B60" s="13"/>
      <c r="C60" s="37" t="n">
        <f aca="false">tr_req/sl_ast</f>
        <v>0.883213259984931</v>
      </c>
      <c r="D60" s="15" t="s">
        <v>74</v>
      </c>
      <c r="E60" s="16"/>
    </row>
    <row r="61" customFormat="false" ht="15" hidden="false" customHeight="true" outlineLevel="0" collapsed="false">
      <c r="A61" s="12" t="s">
        <v>718</v>
      </c>
      <c r="B61" s="13"/>
      <c r="C61" s="33" t="str">
        <f aca="false">IF(NOT(sc_n=1),"N.A.",IF(tr_r&lt;=1,"VERIFICATA","NON VERIFICATA"))</f>
        <v>N.A.</v>
      </c>
      <c r="D61" s="15"/>
      <c r="E61" s="16"/>
    </row>
    <row r="62" customFormat="false" ht="15" hidden="false" customHeight="true" outlineLevel="0" collapsed="false">
      <c r="A62" s="12" t="s">
        <v>719</v>
      </c>
      <c r="B62" s="13" t="s">
        <v>720</v>
      </c>
      <c r="C62" s="25" t="n">
        <f aca="false">0.6*(1-new_fck/250)*fcd_c*sl_cot/(1+sl_cot^2)</f>
        <v>2.55</v>
      </c>
      <c r="D62" s="15" t="s">
        <v>185</v>
      </c>
      <c r="E62" s="16" t="s">
        <v>721</v>
      </c>
    </row>
    <row r="63" customFormat="false" ht="15" hidden="false" customHeight="true" outlineLevel="0" collapsed="false">
      <c r="A63" s="12" t="s">
        <v>722</v>
      </c>
      <c r="B63" s="13"/>
      <c r="C63" s="37" t="n">
        <f aca="false">tr_v/tr_vmax</f>
        <v>1.17808103535271</v>
      </c>
      <c r="D63" s="15" t="s">
        <v>74</v>
      </c>
      <c r="E63" s="16"/>
    </row>
    <row r="64" customFormat="false" ht="15" hidden="false" customHeight="true" outlineLevel="0" collapsed="false">
      <c r="A64" s="12" t="s">
        <v>723</v>
      </c>
      <c r="B64" s="13"/>
      <c r="C64" s="33" t="str">
        <f aca="false">IF(NOT(sc_n=1),"N.A.",IF(tr_rb&lt;=1,"VERIFICATA","NON VERIFICATA"))</f>
        <v>N.A.</v>
      </c>
      <c r="D64" s="15"/>
      <c r="E64" s="16"/>
    </row>
  </sheetData>
  <mergeCells count="3">
    <mergeCell ref="A1:E1"/>
    <mergeCell ref="A2:E2"/>
    <mergeCell ref="A3:E3"/>
  </mergeCells>
  <conditionalFormatting sqref="C45:C53">
    <cfRule type="expression" priority="2" aboveAverage="0" equalAverage="0" bottom="0" percent="0" rank="0" text="" dxfId="0">
      <formula>ISNUMBER(SEARCH("NON",C45))</formula>
    </cfRule>
    <cfRule type="expression" priority="3" aboveAverage="0" equalAverage="0" bottom="0" percent="0" rank="0" text="" dxfId="1">
      <formula>ISNUMBER(SEARCH("N.A.",C45))</formula>
    </cfRule>
    <cfRule type="expression" priority="4" aboveAverage="0" equalAverage="0" bottom="0" percent="0" rank="0" text="" dxfId="2">
      <formula>OR(ISNUMBER(SEARCH("VERIFICATA",C45)),C45="OK")</formula>
    </cfRule>
    <cfRule type="expression" priority="5" aboveAverage="0" equalAverage="0" bottom="0" percent="0" rank="0" text="" dxfId="3">
      <formula>ISNUMBER(SEARCH("ATTENZIONE",C45))</formula>
    </cfRule>
  </conditionalFormatting>
  <conditionalFormatting sqref="C61:C64">
    <cfRule type="expression" priority="6" aboveAverage="0" equalAverage="0" bottom="0" percent="0" rank="0" text="" dxfId="0">
      <formula>ISNUMBER(SEARCH("NON",C61))</formula>
    </cfRule>
    <cfRule type="expression" priority="7" aboveAverage="0" equalAverage="0" bottom="0" percent="0" rank="0" text="" dxfId="1">
      <formula>ISNUMBER(SEARCH("N.A.",C61))</formula>
    </cfRule>
    <cfRule type="expression" priority="8" aboveAverage="0" equalAverage="0" bottom="0" percent="0" rank="0" text="" dxfId="2">
      <formula>OR(ISNUMBER(SEARCH("VERIFICATA",C61)),C61="OK")</formula>
    </cfRule>
    <cfRule type="expression" priority="9" aboveAverage="0" equalAverage="0" bottom="0" percent="0" rank="0" text="" dxfId="3">
      <formula>ISNUMBER(SEARCH("ATTENZIONE",C61))</formula>
    </cfRule>
  </conditionalFormatting>
  <dataValidations count="2">
    <dataValidation allowBlank="false" error="Scegliere un valore dall'elenco." errorStyle="stop" errorTitle="Valore non ammesso" operator="between" prompt="Diametro gambo piolo [mm]. Con lamiera e saldatura passante d &lt;= 20 mm." promptTitle="Diametro" showDropDown="false" showErrorMessage="true" showInputMessage="true" sqref="C8" type="list">
      <formula1>"13,16,19,22,25"</formula1>
      <formula2>0</formula2>
    </dataValidation>
    <dataValidation allowBlank="false" error="Scegliere un valore dall'elenco." errorStyle="stop" errorTitle="Valore non ammesso" operator="between" prompt="Numero di pioli per nervatura/fila trasversale." promptTitle="Pioli per fila" showDropDown="false" showErrorMessage="true" showInputMessage="true" sqref="C11" type="list">
      <formula1>"1,2"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E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95"/>
  </cols>
  <sheetData>
    <row r="1" customFormat="false" ht="25.5" hidden="false" customHeight="true" outlineLevel="0" collapsed="false">
      <c r="A1" s="6" t="s">
        <v>724</v>
      </c>
      <c r="B1" s="6"/>
      <c r="C1" s="6"/>
      <c r="D1" s="6"/>
      <c r="E1" s="6"/>
    </row>
    <row r="2" customFormat="false" ht="42" hidden="false" customHeight="true" outlineLevel="0" collapsed="false">
      <c r="A2" s="7" t="s">
        <v>725</v>
      </c>
      <c r="B2" s="7"/>
      <c r="C2" s="7"/>
      <c r="D2" s="7"/>
      <c r="E2" s="7"/>
    </row>
    <row r="3" customFormat="false" ht="15" hidden="false" customHeight="false" outlineLevel="0" collapsed="false">
      <c r="A3" s="8" t="s">
        <v>32</v>
      </c>
      <c r="B3" s="8"/>
      <c r="C3" s="8"/>
      <c r="D3" s="8"/>
      <c r="E3" s="8"/>
    </row>
    <row r="6" customFormat="false" ht="15" hidden="false" customHeight="false" outlineLevel="0" collapsed="false">
      <c r="A6" s="9" t="s">
        <v>726</v>
      </c>
      <c r="B6" s="10"/>
      <c r="C6" s="10"/>
      <c r="D6" s="10"/>
      <c r="E6" s="10"/>
    </row>
    <row r="7" customFormat="false" ht="15" hidden="false" customHeight="false" outlineLevel="0" collapsed="false">
      <c r="A7" s="11" t="s">
        <v>34</v>
      </c>
      <c r="B7" s="11" t="s">
        <v>35</v>
      </c>
      <c r="C7" s="11" t="s">
        <v>36</v>
      </c>
      <c r="D7" s="11" t="s">
        <v>37</v>
      </c>
      <c r="E7" s="11" t="s">
        <v>38</v>
      </c>
    </row>
    <row r="8" customFormat="false" ht="51.75" hidden="false" customHeight="true" outlineLevel="0" collapsed="false">
      <c r="A8" s="12" t="s">
        <v>727</v>
      </c>
      <c r="B8" s="13"/>
      <c r="C8" s="14" t="s">
        <v>728</v>
      </c>
      <c r="D8" s="15"/>
      <c r="E8" s="16" t="s">
        <v>729</v>
      </c>
    </row>
    <row r="10" customFormat="false" ht="15" hidden="false" customHeight="false" outlineLevel="0" collapsed="false">
      <c r="A10" s="9" t="s">
        <v>730</v>
      </c>
      <c r="B10" s="10"/>
      <c r="C10" s="10"/>
      <c r="D10" s="10"/>
      <c r="E10" s="10"/>
    </row>
    <row r="11" customFormat="false" ht="15" hidden="false" customHeight="false" outlineLevel="0" collapsed="false">
      <c r="A11" s="11" t="s">
        <v>34</v>
      </c>
      <c r="B11" s="11" t="s">
        <v>35</v>
      </c>
      <c r="C11" s="11" t="s">
        <v>36</v>
      </c>
      <c r="D11" s="11" t="s">
        <v>37</v>
      </c>
      <c r="E11" s="11" t="s">
        <v>38</v>
      </c>
    </row>
    <row r="12" customFormat="false" ht="15" hidden="false" customHeight="true" outlineLevel="0" collapsed="false">
      <c r="A12" s="12" t="s">
        <v>731</v>
      </c>
      <c r="B12" s="13"/>
      <c r="C12" s="14" t="s">
        <v>732</v>
      </c>
      <c r="D12" s="15"/>
      <c r="E12" s="16" t="s">
        <v>733</v>
      </c>
    </row>
    <row r="13" customFormat="false" ht="15" hidden="false" customHeight="true" outlineLevel="0" collapsed="false">
      <c r="A13" s="12" t="s">
        <v>734</v>
      </c>
      <c r="B13" s="13"/>
      <c r="C13" s="14" t="s">
        <v>735</v>
      </c>
      <c r="D13" s="15"/>
      <c r="E13" s="16" t="s">
        <v>736</v>
      </c>
    </row>
    <row r="14" customFormat="false" ht="15" hidden="false" customHeight="true" outlineLevel="0" collapsed="false">
      <c r="A14" s="12" t="s">
        <v>737</v>
      </c>
      <c r="B14" s="13" t="s">
        <v>738</v>
      </c>
      <c r="C14" s="26" t="n">
        <v>160</v>
      </c>
      <c r="D14" s="15" t="s">
        <v>63</v>
      </c>
      <c r="E14" s="16" t="s">
        <v>739</v>
      </c>
    </row>
    <row r="15" customFormat="false" ht="25.5" hidden="false" customHeight="true" outlineLevel="0" collapsed="false">
      <c r="A15" s="12" t="s">
        <v>740</v>
      </c>
      <c r="B15" s="13" t="s">
        <v>741</v>
      </c>
      <c r="C15" s="18" t="n">
        <v>7</v>
      </c>
      <c r="D15" s="15" t="s">
        <v>185</v>
      </c>
      <c r="E15" s="16" t="s">
        <v>742</v>
      </c>
    </row>
    <row r="16" customFormat="false" ht="15" hidden="false" customHeight="true" outlineLevel="0" collapsed="false">
      <c r="A16" s="12" t="s">
        <v>743</v>
      </c>
      <c r="B16" s="13" t="s">
        <v>744</v>
      </c>
      <c r="C16" s="18" t="n">
        <v>1</v>
      </c>
      <c r="D16" s="15" t="s">
        <v>74</v>
      </c>
      <c r="E16" s="16" t="s">
        <v>745</v>
      </c>
    </row>
    <row r="17" customFormat="false" ht="15" hidden="false" customHeight="true" outlineLevel="0" collapsed="false">
      <c r="A17" s="12" t="s">
        <v>746</v>
      </c>
      <c r="B17" s="13" t="s">
        <v>747</v>
      </c>
      <c r="C17" s="18" t="n">
        <v>1.2</v>
      </c>
      <c r="D17" s="15" t="s">
        <v>74</v>
      </c>
      <c r="E17" s="16" t="s">
        <v>748</v>
      </c>
    </row>
    <row r="18" customFormat="false" ht="15" hidden="false" customHeight="true" outlineLevel="0" collapsed="false">
      <c r="A18" s="12" t="s">
        <v>749</v>
      </c>
      <c r="B18" s="13" t="s">
        <v>750</v>
      </c>
      <c r="C18" s="18" t="n">
        <v>2</v>
      </c>
      <c r="D18" s="15" t="s">
        <v>74</v>
      </c>
      <c r="E18" s="16" t="s">
        <v>751</v>
      </c>
    </row>
    <row r="19" customFormat="false" ht="25.5" hidden="false" customHeight="true" outlineLevel="0" collapsed="false">
      <c r="A19" s="12" t="s">
        <v>752</v>
      </c>
      <c r="B19" s="13"/>
      <c r="C19" s="14" t="s">
        <v>753</v>
      </c>
      <c r="D19" s="15"/>
      <c r="E19" s="16" t="s">
        <v>754</v>
      </c>
    </row>
    <row r="20" customFormat="false" ht="15" hidden="false" customHeight="true" outlineLevel="0" collapsed="false">
      <c r="A20" s="12" t="s">
        <v>755</v>
      </c>
      <c r="B20" s="13" t="s">
        <v>756</v>
      </c>
      <c r="C20" s="14" t="s">
        <v>757</v>
      </c>
      <c r="D20" s="15"/>
      <c r="E20" s="16" t="s">
        <v>758</v>
      </c>
    </row>
    <row r="21" customFormat="false" ht="15" hidden="false" customHeight="true" outlineLevel="0" collapsed="false">
      <c r="A21" s="12" t="s">
        <v>759</v>
      </c>
      <c r="B21" s="13"/>
      <c r="C21" s="14" t="s">
        <v>374</v>
      </c>
      <c r="D21" s="15"/>
      <c r="E21" s="16" t="s">
        <v>760</v>
      </c>
    </row>
    <row r="22" customFormat="false" ht="15" hidden="false" customHeight="true" outlineLevel="0" collapsed="false">
      <c r="A22" s="12" t="s">
        <v>761</v>
      </c>
      <c r="B22" s="13" t="s">
        <v>762</v>
      </c>
      <c r="C22" s="26" t="n">
        <v>80</v>
      </c>
      <c r="D22" s="15" t="s">
        <v>63</v>
      </c>
      <c r="E22" s="16" t="s">
        <v>763</v>
      </c>
    </row>
    <row r="23" customFormat="false" ht="15" hidden="false" customHeight="true" outlineLevel="0" collapsed="false">
      <c r="A23" s="12" t="s">
        <v>764</v>
      </c>
      <c r="B23" s="13" t="s">
        <v>765</v>
      </c>
      <c r="C23" s="26" t="n">
        <v>80</v>
      </c>
      <c r="D23" s="15" t="s">
        <v>63</v>
      </c>
      <c r="E23" s="16" t="s">
        <v>763</v>
      </c>
    </row>
    <row r="24" customFormat="false" ht="25.5" hidden="false" customHeight="true" outlineLevel="0" collapsed="false">
      <c r="A24" s="12" t="s">
        <v>766</v>
      </c>
      <c r="B24" s="13" t="s">
        <v>767</v>
      </c>
      <c r="C24" s="26" t="n">
        <v>18</v>
      </c>
      <c r="D24" s="15" t="s">
        <v>63</v>
      </c>
      <c r="E24" s="16" t="s">
        <v>768</v>
      </c>
    </row>
    <row r="25" customFormat="false" ht="15" hidden="false" customHeight="true" outlineLevel="0" collapsed="false">
      <c r="A25" s="12" t="s">
        <v>769</v>
      </c>
      <c r="B25" s="13" t="s">
        <v>770</v>
      </c>
      <c r="C25" s="18" t="n">
        <v>1</v>
      </c>
      <c r="D25" s="15" t="s">
        <v>74</v>
      </c>
      <c r="E25" s="16" t="s">
        <v>771</v>
      </c>
    </row>
    <row r="27" customFormat="false" ht="15" hidden="false" customHeight="false" outlineLevel="0" collapsed="false">
      <c r="A27" s="9" t="s">
        <v>772</v>
      </c>
      <c r="B27" s="10"/>
      <c r="C27" s="10"/>
      <c r="D27" s="10"/>
      <c r="E27" s="10"/>
    </row>
    <row r="28" customFormat="false" ht="15" hidden="false" customHeight="false" outlineLevel="0" collapsed="false">
      <c r="A28" s="11" t="s">
        <v>34</v>
      </c>
      <c r="B28" s="11" t="s">
        <v>35</v>
      </c>
      <c r="C28" s="11" t="s">
        <v>36</v>
      </c>
      <c r="D28" s="11" t="s">
        <v>37</v>
      </c>
      <c r="E28" s="11" t="s">
        <v>38</v>
      </c>
    </row>
    <row r="29" customFormat="false" ht="25.5" hidden="false" customHeight="true" outlineLevel="0" collapsed="false">
      <c r="A29" s="12" t="s">
        <v>773</v>
      </c>
      <c r="B29" s="13" t="s">
        <v>634</v>
      </c>
      <c r="C29" s="26" t="n">
        <v>2</v>
      </c>
      <c r="D29" s="15" t="s">
        <v>74</v>
      </c>
      <c r="E29" s="16" t="s">
        <v>774</v>
      </c>
    </row>
    <row r="30" customFormat="false" ht="25.5" hidden="false" customHeight="true" outlineLevel="0" collapsed="false">
      <c r="A30" s="12" t="s">
        <v>775</v>
      </c>
      <c r="B30" s="13" t="s">
        <v>637</v>
      </c>
      <c r="C30" s="26" t="n">
        <v>120</v>
      </c>
      <c r="D30" s="15" t="s">
        <v>63</v>
      </c>
      <c r="E30" s="16" t="s">
        <v>776</v>
      </c>
    </row>
    <row r="31" customFormat="false" ht="25.5" hidden="false" customHeight="true" outlineLevel="0" collapsed="false">
      <c r="A31" s="12" t="s">
        <v>777</v>
      </c>
      <c r="B31" s="13" t="s">
        <v>640</v>
      </c>
      <c r="C31" s="26" t="n">
        <v>150</v>
      </c>
      <c r="D31" s="15" t="s">
        <v>63</v>
      </c>
      <c r="E31" s="16" t="s">
        <v>778</v>
      </c>
    </row>
    <row r="32" customFormat="false" ht="25.5" hidden="false" customHeight="true" outlineLevel="0" collapsed="false">
      <c r="A32" s="12" t="s">
        <v>779</v>
      </c>
      <c r="B32" s="13" t="s">
        <v>139</v>
      </c>
      <c r="C32" s="18" t="n">
        <v>0.1</v>
      </c>
      <c r="D32" s="15" t="s">
        <v>74</v>
      </c>
      <c r="E32" s="16" t="s">
        <v>780</v>
      </c>
    </row>
    <row r="34" customFormat="false" ht="15" hidden="false" customHeight="false" outlineLevel="0" collapsed="false">
      <c r="A34" s="9" t="s">
        <v>781</v>
      </c>
      <c r="B34" s="10"/>
      <c r="C34" s="10"/>
      <c r="D34" s="10"/>
      <c r="E34" s="10"/>
    </row>
    <row r="35" customFormat="false" ht="15" hidden="false" customHeight="false" outlineLevel="0" collapsed="false">
      <c r="A35" s="11" t="s">
        <v>34</v>
      </c>
      <c r="B35" s="11" t="s">
        <v>35</v>
      </c>
      <c r="C35" s="11" t="s">
        <v>36</v>
      </c>
      <c r="D35" s="11" t="s">
        <v>37</v>
      </c>
      <c r="E35" s="11" t="s">
        <v>38</v>
      </c>
    </row>
    <row r="36" customFormat="false" ht="15" hidden="false" customHeight="true" outlineLevel="0" collapsed="false">
      <c r="A36" s="12" t="s">
        <v>782</v>
      </c>
      <c r="B36" s="13" t="s">
        <v>783</v>
      </c>
      <c r="C36" s="17" t="n">
        <f aca="false">(ex_bw-(an_nr-1)*an_et)/2</f>
        <v>90</v>
      </c>
      <c r="D36" s="15" t="s">
        <v>63</v>
      </c>
      <c r="E36" s="16" t="s">
        <v>784</v>
      </c>
    </row>
    <row r="37" customFormat="false" ht="15" hidden="false" customHeight="true" outlineLevel="0" collapsed="false">
      <c r="A37" s="12" t="s">
        <v>785</v>
      </c>
      <c r="B37" s="13" t="s">
        <v>786</v>
      </c>
      <c r="C37" s="19" t="n">
        <f aca="false">(a_bs-an_et)/2</f>
        <v>40</v>
      </c>
      <c r="D37" s="15" t="s">
        <v>63</v>
      </c>
      <c r="E37" s="16" t="s">
        <v>787</v>
      </c>
    </row>
    <row r="38" customFormat="false" ht="15" hidden="false" customHeight="true" outlineLevel="0" collapsed="false">
      <c r="A38" s="12" t="s">
        <v>788</v>
      </c>
      <c r="B38" s="13" t="s">
        <v>682</v>
      </c>
      <c r="C38" s="17" t="n">
        <f aca="false">an_nr*INT(lu_mm/2/an_s)</f>
        <v>40</v>
      </c>
      <c r="D38" s="15" t="s">
        <v>74</v>
      </c>
      <c r="E38" s="16"/>
    </row>
    <row r="40" customFormat="false" ht="15" hidden="false" customHeight="false" outlineLevel="0" collapsed="false">
      <c r="A40" s="9" t="s">
        <v>789</v>
      </c>
      <c r="B40" s="10"/>
      <c r="C40" s="10"/>
      <c r="D40" s="10"/>
      <c r="E40" s="10"/>
    </row>
    <row r="41" customFormat="false" ht="15" hidden="false" customHeight="false" outlineLevel="0" collapsed="false">
      <c r="A41" s="11" t="s">
        <v>34</v>
      </c>
      <c r="B41" s="11" t="s">
        <v>35</v>
      </c>
      <c r="C41" s="11" t="s">
        <v>36</v>
      </c>
      <c r="D41" s="11" t="s">
        <v>37</v>
      </c>
      <c r="E41" s="11" t="s">
        <v>38</v>
      </c>
    </row>
    <row r="42" customFormat="false" ht="25.5" hidden="false" customHeight="true" outlineLevel="0" collapsed="false">
      <c r="A42" s="12" t="s">
        <v>790</v>
      </c>
      <c r="B42" s="13" t="s">
        <v>580</v>
      </c>
      <c r="C42" s="32" t="n">
        <f aca="false">vt_fel</f>
        <v>92.1690185724325</v>
      </c>
      <c r="D42" s="15" t="s">
        <v>139</v>
      </c>
      <c r="E42" s="16" t="s">
        <v>791</v>
      </c>
    </row>
    <row r="43" customFormat="false" ht="15" hidden="false" customHeight="true" outlineLevel="0" collapsed="false">
      <c r="A43" s="12" t="s">
        <v>792</v>
      </c>
      <c r="B43" s="13" t="s">
        <v>793</v>
      </c>
      <c r="C43" s="36" t="n">
        <f aca="false">IF(an_crit="PLASTICA",cs_ncf,an_fel)</f>
        <v>92.1690185724325</v>
      </c>
      <c r="D43" s="15" t="s">
        <v>139</v>
      </c>
      <c r="E43" s="16" t="s">
        <v>794</v>
      </c>
    </row>
    <row r="44" customFormat="false" ht="25.5" hidden="false" customHeight="true" outlineLevel="0" collapsed="false">
      <c r="A44" s="12" t="s">
        <v>575</v>
      </c>
      <c r="B44" s="13" t="s">
        <v>576</v>
      </c>
      <c r="C44" s="22" t="n">
        <f aca="false">IF(an_crit="PLASTICA",MAX(vt_flow,v_ed*1000*els_sint/els_j),vt_flow)</f>
        <v>61.4460123816216</v>
      </c>
      <c r="D44" s="15" t="s">
        <v>577</v>
      </c>
      <c r="E44" s="16" t="s">
        <v>795</v>
      </c>
    </row>
    <row r="45" customFormat="false" ht="15" hidden="false" customHeight="true" outlineLevel="0" collapsed="false">
      <c r="A45" s="12" t="s">
        <v>796</v>
      </c>
      <c r="B45" s="13" t="s">
        <v>797</v>
      </c>
      <c r="C45" s="20" t="n">
        <f aca="false">an_f/an_nh</f>
        <v>2.30422546431081</v>
      </c>
      <c r="D45" s="15" t="s">
        <v>139</v>
      </c>
      <c r="E45" s="16" t="s">
        <v>798</v>
      </c>
    </row>
    <row r="46" customFormat="false" ht="15" hidden="false" customHeight="true" outlineLevel="0" collapsed="false">
      <c r="A46" s="12" t="s">
        <v>799</v>
      </c>
      <c r="B46" s="13" t="s">
        <v>800</v>
      </c>
      <c r="C46" s="20" t="n">
        <f aca="false">an_v*an_s/an_nr/1000</f>
        <v>4.60845092862162</v>
      </c>
      <c r="D46" s="15" t="s">
        <v>139</v>
      </c>
      <c r="E46" s="16" t="s">
        <v>801</v>
      </c>
    </row>
    <row r="47" customFormat="false" ht="15" hidden="false" customHeight="true" outlineLevel="0" collapsed="false">
      <c r="A47" s="12" t="s">
        <v>802</v>
      </c>
      <c r="B47" s="13" t="s">
        <v>149</v>
      </c>
      <c r="C47" s="21" t="n">
        <f aca="false">MAX(an_vg,an_vl)</f>
        <v>4.60845092862162</v>
      </c>
      <c r="D47" s="15" t="s">
        <v>139</v>
      </c>
      <c r="E47" s="16"/>
    </row>
    <row r="48" customFormat="false" ht="15" hidden="false" customHeight="true" outlineLevel="0" collapsed="false">
      <c r="A48" s="12" t="s">
        <v>803</v>
      </c>
      <c r="B48" s="13" t="s">
        <v>804</v>
      </c>
      <c r="C48" s="21" t="n">
        <f aca="false">an_kn*an_ved</f>
        <v>0.460845092862162</v>
      </c>
      <c r="D48" s="15" t="s">
        <v>139</v>
      </c>
      <c r="E48" s="16" t="s">
        <v>805</v>
      </c>
    </row>
    <row r="50" customFormat="false" ht="15" hidden="false" customHeight="false" outlineLevel="0" collapsed="false">
      <c r="A50" s="9" t="s">
        <v>806</v>
      </c>
      <c r="B50" s="10"/>
      <c r="C50" s="10"/>
      <c r="D50" s="10"/>
      <c r="E50" s="10"/>
    </row>
    <row r="51" customFormat="false" ht="15" hidden="false" customHeight="false" outlineLevel="0" collapsed="false">
      <c r="A51" s="11" t="s">
        <v>34</v>
      </c>
      <c r="B51" s="11" t="s">
        <v>35</v>
      </c>
      <c r="C51" s="11" t="s">
        <v>36</v>
      </c>
      <c r="D51" s="11" t="s">
        <v>37</v>
      </c>
      <c r="E51" s="11" t="s">
        <v>38</v>
      </c>
    </row>
    <row r="52" customFormat="false" ht="15" hidden="false" customHeight="true" outlineLevel="0" collapsed="false">
      <c r="A52" s="12" t="s">
        <v>807</v>
      </c>
      <c r="B52" s="13" t="s">
        <v>625</v>
      </c>
      <c r="C52" s="19" t="n">
        <f aca="false">INDEX(tb_bard,MATCH(an_m,tb_bar,0))</f>
        <v>16</v>
      </c>
      <c r="D52" s="15" t="s">
        <v>63</v>
      </c>
      <c r="E52" s="16"/>
    </row>
    <row r="53" customFormat="false" ht="15" hidden="false" customHeight="true" outlineLevel="0" collapsed="false">
      <c r="A53" s="12" t="s">
        <v>808</v>
      </c>
      <c r="B53" s="13" t="s">
        <v>809</v>
      </c>
      <c r="C53" s="22" t="n">
        <f aca="false">INDEX(tb_baras,MATCH(an_m,tb_bar,0))</f>
        <v>157</v>
      </c>
      <c r="D53" s="15" t="s">
        <v>291</v>
      </c>
      <c r="E53" s="16"/>
    </row>
    <row r="54" customFormat="false" ht="15" hidden="false" customHeight="true" outlineLevel="0" collapsed="false">
      <c r="A54" s="12" t="s">
        <v>810</v>
      </c>
      <c r="B54" s="13" t="s">
        <v>811</v>
      </c>
      <c r="C54" s="19" t="n">
        <f aca="false">INDEX(tb_bclfu,MATCH(an_cl,tb_bcl,0))</f>
        <v>800</v>
      </c>
      <c r="D54" s="15" t="s">
        <v>185</v>
      </c>
      <c r="E54" s="16"/>
    </row>
    <row r="55" customFormat="false" ht="15" hidden="false" customHeight="true" outlineLevel="0" collapsed="false">
      <c r="A55" s="12" t="s">
        <v>812</v>
      </c>
      <c r="B55" s="13" t="s">
        <v>184</v>
      </c>
      <c r="C55" s="19" t="n">
        <f aca="false">INDEX(tb_bclfy,MATCH(an_cl,tb_bcl,0))</f>
        <v>640</v>
      </c>
      <c r="D55" s="15" t="s">
        <v>185</v>
      </c>
      <c r="E55" s="16"/>
    </row>
    <row r="56" customFormat="false" ht="15" hidden="false" customHeight="true" outlineLevel="0" collapsed="false">
      <c r="A56" s="12" t="s">
        <v>813</v>
      </c>
      <c r="B56" s="13"/>
      <c r="C56" s="25" t="n">
        <f aca="false">MAX(1.4,1.2*an_fu/an_fy)</f>
        <v>1.5</v>
      </c>
      <c r="D56" s="15" t="s">
        <v>74</v>
      </c>
      <c r="E56" s="16" t="s">
        <v>814</v>
      </c>
    </row>
    <row r="57" customFormat="false" ht="15" hidden="false" customHeight="true" outlineLevel="0" collapsed="false">
      <c r="A57" s="12" t="s">
        <v>815</v>
      </c>
      <c r="B57" s="13"/>
      <c r="C57" s="25" t="n">
        <f aca="false">IF(AND(an_fu&lt;=800,an_fy/an_fu&lt;=0.8),MAX(1.25,an_fu/an_fy),1.5)</f>
        <v>1.25</v>
      </c>
      <c r="D57" s="15" t="s">
        <v>74</v>
      </c>
      <c r="E57" s="16" t="s">
        <v>816</v>
      </c>
    </row>
    <row r="58" customFormat="false" ht="15" hidden="false" customHeight="true" outlineLevel="0" collapsed="false">
      <c r="A58" s="12" t="s">
        <v>817</v>
      </c>
      <c r="B58" s="13" t="s">
        <v>818</v>
      </c>
      <c r="C58" s="21" t="n">
        <f aca="false">an_as*an_fu/an_gmn/1000</f>
        <v>83.7333333333333</v>
      </c>
      <c r="D58" s="15" t="s">
        <v>139</v>
      </c>
      <c r="E58" s="16" t="s">
        <v>819</v>
      </c>
    </row>
    <row r="59" customFormat="false" ht="15" hidden="false" customHeight="true" outlineLevel="0" collapsed="false">
      <c r="A59" s="12" t="s">
        <v>820</v>
      </c>
      <c r="B59" s="13"/>
      <c r="C59" s="19" t="n">
        <f aca="false">IF(AND(ex_gap&gt;0,OR(ex_gap&gt;an_d/2,ex_grok="NO")),1,0)</f>
        <v>1</v>
      </c>
      <c r="D59" s="15" t="s">
        <v>74</v>
      </c>
      <c r="E59" s="16" t="s">
        <v>821</v>
      </c>
    </row>
    <row r="60" customFormat="false" ht="15" hidden="false" customHeight="true" outlineLevel="0" collapsed="false">
      <c r="A60" s="12" t="s">
        <v>822</v>
      </c>
      <c r="B60" s="13" t="s">
        <v>823</v>
      </c>
      <c r="C60" s="20" t="n">
        <f aca="false">IF(an_fu&lt;=500,0.6,0.5)*an_as*an_fu/1000</f>
        <v>62.8</v>
      </c>
      <c r="D60" s="15" t="s">
        <v>139</v>
      </c>
      <c r="E60" s="16" t="s">
        <v>824</v>
      </c>
    </row>
    <row r="61" customFormat="false" ht="15" hidden="false" customHeight="true" outlineLevel="0" collapsed="false">
      <c r="A61" s="12" t="s">
        <v>825</v>
      </c>
      <c r="B61" s="13" t="s">
        <v>826</v>
      </c>
      <c r="C61" s="20" t="n">
        <f aca="false">1.2*PI()*(SQRT(4*an_as/PI()))^3/32*an_fu*MAX(0,1-an_ned/an_nrs)/1000</f>
        <v>264.90426191783</v>
      </c>
      <c r="D61" s="15" t="s">
        <v>827</v>
      </c>
      <c r="E61" s="16" t="s">
        <v>828</v>
      </c>
    </row>
    <row r="62" customFormat="false" ht="15" hidden="false" customHeight="true" outlineLevel="0" collapsed="false">
      <c r="A62" s="12" t="s">
        <v>829</v>
      </c>
      <c r="B62" s="13" t="s">
        <v>830</v>
      </c>
      <c r="C62" s="20" t="n">
        <f aca="false">an_am*an_mrk/(0.5*an_d+ex_gap)</f>
        <v>14.7169034398794</v>
      </c>
      <c r="D62" s="15" t="s">
        <v>139</v>
      </c>
      <c r="E62" s="16" t="s">
        <v>831</v>
      </c>
    </row>
    <row r="63" customFormat="false" ht="15" hidden="false" customHeight="true" outlineLevel="0" collapsed="false">
      <c r="A63" s="12" t="s">
        <v>832</v>
      </c>
      <c r="B63" s="13" t="s">
        <v>833</v>
      </c>
      <c r="C63" s="21" t="n">
        <f aca="false">IF(an_lev=1,MIN(an_vso,an_vsm),an_vso)/an_gmv</f>
        <v>11.7735227519036</v>
      </c>
      <c r="D63" s="15" t="s">
        <v>139</v>
      </c>
      <c r="E63" s="16"/>
    </row>
    <row r="64" customFormat="false" ht="15" hidden="false" customHeight="true" outlineLevel="0" collapsed="false">
      <c r="A64" s="12" t="s">
        <v>834</v>
      </c>
      <c r="B64" s="13" t="s">
        <v>835</v>
      </c>
      <c r="C64" s="25" t="n">
        <f aca="false">MAX(0,MIN(2.5,2.8*an_e2/an_d0-1.7))</f>
        <v>2.5</v>
      </c>
      <c r="D64" s="15" t="s">
        <v>74</v>
      </c>
      <c r="E64" s="16" t="s">
        <v>836</v>
      </c>
    </row>
    <row r="65" customFormat="false" ht="15" hidden="false" customHeight="true" outlineLevel="0" collapsed="false">
      <c r="A65" s="12" t="s">
        <v>837</v>
      </c>
      <c r="B65" s="13" t="s">
        <v>838</v>
      </c>
      <c r="C65" s="25" t="n">
        <f aca="false">MAX(0,MIN(1,an_fu/ftk_a,an_s/(3*an_d0)-0.25))</f>
        <v>1</v>
      </c>
      <c r="D65" s="15" t="s">
        <v>74</v>
      </c>
      <c r="E65" s="16" t="s">
        <v>839</v>
      </c>
    </row>
    <row r="66" customFormat="false" ht="15" hidden="false" customHeight="true" outlineLevel="0" collapsed="false">
      <c r="A66" s="12" t="s">
        <v>840</v>
      </c>
      <c r="B66" s="13" t="s">
        <v>841</v>
      </c>
      <c r="C66" s="21" t="n">
        <f aca="false">an_kb*an_ab*ftk_a*an_d*a_ts/gam_mt/1000</f>
        <v>206.4</v>
      </c>
      <c r="D66" s="15" t="s">
        <v>139</v>
      </c>
      <c r="E66" s="16" t="s">
        <v>842</v>
      </c>
    </row>
    <row r="68" customFormat="false" ht="15" hidden="false" customHeight="false" outlineLevel="0" collapsed="false">
      <c r="A68" s="9" t="s">
        <v>843</v>
      </c>
      <c r="B68" s="10"/>
      <c r="C68" s="10"/>
      <c r="D68" s="10"/>
      <c r="E68" s="10"/>
    </row>
    <row r="69" customFormat="false" ht="15" hidden="false" customHeight="false" outlineLevel="0" collapsed="false">
      <c r="A69" s="11" t="s">
        <v>34</v>
      </c>
      <c r="B69" s="11" t="s">
        <v>35</v>
      </c>
      <c r="C69" s="11" t="s">
        <v>36</v>
      </c>
      <c r="D69" s="11" t="s">
        <v>37</v>
      </c>
      <c r="E69" s="11" t="s">
        <v>38</v>
      </c>
    </row>
    <row r="70" customFormat="false" ht="15" hidden="false" customHeight="true" outlineLevel="0" collapsed="false">
      <c r="A70" s="12" t="s">
        <v>844</v>
      </c>
      <c r="B70" s="13" t="s">
        <v>835</v>
      </c>
      <c r="C70" s="22" t="n">
        <f aca="false">IF(an_cr="FESSURATO",7.7,11)</f>
        <v>7.7</v>
      </c>
      <c r="D70" s="15" t="s">
        <v>74</v>
      </c>
      <c r="E70" s="16" t="s">
        <v>845</v>
      </c>
    </row>
    <row r="71" customFormat="false" ht="15" hidden="false" customHeight="true" outlineLevel="0" collapsed="false">
      <c r="A71" s="12" t="s">
        <v>846</v>
      </c>
      <c r="B71" s="13" t="s">
        <v>847</v>
      </c>
      <c r="C71" s="22" t="n">
        <f aca="false">IF(an_cr="FESSURATO",1.7,2.4)</f>
        <v>1.7</v>
      </c>
      <c r="D71" s="15" t="s">
        <v>74</v>
      </c>
      <c r="E71" s="16" t="s">
        <v>848</v>
      </c>
    </row>
    <row r="72" customFormat="false" ht="15" hidden="false" customHeight="true" outlineLevel="0" collapsed="false">
      <c r="A72" s="12" t="s">
        <v>849</v>
      </c>
      <c r="B72" s="13"/>
      <c r="C72" s="20" t="n">
        <f aca="false">1.5*an_gin</f>
        <v>1.8</v>
      </c>
      <c r="D72" s="15" t="s">
        <v>74</v>
      </c>
      <c r="E72" s="16" t="s">
        <v>850</v>
      </c>
    </row>
    <row r="73" customFormat="false" ht="15" hidden="false" customHeight="true" outlineLevel="0" collapsed="false">
      <c r="A73" s="12" t="s">
        <v>851</v>
      </c>
      <c r="B73" s="13"/>
      <c r="C73" s="25" t="n">
        <f aca="false">IF(an_rfn="SI",MIN(1,0.5+an_hef/200),1)</f>
        <v>1</v>
      </c>
      <c r="D73" s="15" t="s">
        <v>74</v>
      </c>
      <c r="E73" s="16"/>
    </row>
    <row r="74" customFormat="false" ht="15" hidden="false" customHeight="true" outlineLevel="0" collapsed="false">
      <c r="A74" s="12" t="s">
        <v>852</v>
      </c>
      <c r="B74" s="13" t="s">
        <v>853</v>
      </c>
      <c r="C74" s="20" t="n">
        <f aca="false">an_k1*SQRT(fck_c)*an_hef^1.5/1000</f>
        <v>63.6202064337005</v>
      </c>
      <c r="D74" s="15" t="s">
        <v>139</v>
      </c>
      <c r="E74" s="16" t="s">
        <v>854</v>
      </c>
    </row>
    <row r="75" customFormat="false" ht="15" hidden="false" customHeight="true" outlineLevel="0" collapsed="false">
      <c r="A75" s="12" t="s">
        <v>855</v>
      </c>
      <c r="B75" s="13" t="s">
        <v>856</v>
      </c>
      <c r="C75" s="19" t="n">
        <f aca="false">3*an_hef</f>
        <v>480</v>
      </c>
      <c r="D75" s="15" t="s">
        <v>63</v>
      </c>
      <c r="E75" s="16" t="s">
        <v>857</v>
      </c>
    </row>
    <row r="76" customFormat="false" ht="15" hidden="false" customHeight="true" outlineLevel="0" collapsed="false">
      <c r="A76" s="12" t="s">
        <v>858</v>
      </c>
      <c r="B76" s="13" t="s">
        <v>859</v>
      </c>
      <c r="C76" s="20" t="n">
        <f aca="false">an_psus*an_tau*PI()*an_d*an_hef/1000</f>
        <v>56.2973403523291</v>
      </c>
      <c r="D76" s="15" t="s">
        <v>139</v>
      </c>
      <c r="E76" s="16" t="s">
        <v>860</v>
      </c>
    </row>
    <row r="77" customFormat="false" ht="15" hidden="false" customHeight="true" outlineLevel="0" collapsed="false">
      <c r="A77" s="12" t="s">
        <v>861</v>
      </c>
      <c r="B77" s="13" t="s">
        <v>862</v>
      </c>
      <c r="C77" s="19" t="n">
        <f aca="false">MIN(3*an_hef,7.3*an_d*SQRT(an_psus*an_tau))</f>
        <v>309.023753132344</v>
      </c>
      <c r="D77" s="15" t="s">
        <v>63</v>
      </c>
      <c r="E77" s="16" t="s">
        <v>863</v>
      </c>
    </row>
    <row r="78" customFormat="false" ht="15" hidden="false" customHeight="true" outlineLevel="0" collapsed="false">
      <c r="A78" s="12" t="s">
        <v>864</v>
      </c>
      <c r="B78" s="13" t="s">
        <v>865</v>
      </c>
      <c r="C78" s="25" t="n">
        <f aca="false">MIN(an_s,an_scr)*IF(an_nr=2,MIN(an_c,an_scr/2)+MIN(an_et/2,an_scr/2),2*MIN(an_c,an_scr/2))/an_scr^2</f>
        <v>0.09765625</v>
      </c>
      <c r="D78" s="15" t="s">
        <v>74</v>
      </c>
      <c r="E78" s="16" t="s">
        <v>866</v>
      </c>
    </row>
    <row r="79" customFormat="false" ht="15" hidden="false" customHeight="true" outlineLevel="0" collapsed="false">
      <c r="A79" s="12" t="s">
        <v>867</v>
      </c>
      <c r="B79" s="13"/>
      <c r="C79" s="25" t="n">
        <f aca="false">MIN(1,0.7+0.3*an_c/(an_scr/2))</f>
        <v>0.8125</v>
      </c>
      <c r="D79" s="15" t="s">
        <v>74</v>
      </c>
      <c r="E79" s="16" t="s">
        <v>868</v>
      </c>
    </row>
    <row r="80" customFormat="false" ht="15" hidden="false" customHeight="true" outlineLevel="0" collapsed="false">
      <c r="A80" s="12" t="s">
        <v>869</v>
      </c>
      <c r="B80" s="13" t="s">
        <v>870</v>
      </c>
      <c r="C80" s="20" t="n">
        <f aca="false">an_ncz*an_rcn*an_psn*an_prn</f>
        <v>5.04799001243962</v>
      </c>
      <c r="D80" s="15" t="s">
        <v>139</v>
      </c>
      <c r="E80" s="16"/>
    </row>
    <row r="81" customFormat="false" ht="15" hidden="false" customHeight="true" outlineLevel="0" collapsed="false">
      <c r="A81" s="12" t="s">
        <v>871</v>
      </c>
      <c r="B81" s="13" t="s">
        <v>872</v>
      </c>
      <c r="C81" s="21" t="n">
        <f aca="false">an_nrkc/an_gmc</f>
        <v>2.80443889579979</v>
      </c>
      <c r="D81" s="15" t="s">
        <v>139</v>
      </c>
      <c r="E81" s="16"/>
    </row>
    <row r="82" customFormat="false" ht="15" hidden="false" customHeight="true" outlineLevel="0" collapsed="false">
      <c r="A82" s="12" t="s">
        <v>873</v>
      </c>
      <c r="B82" s="13" t="s">
        <v>874</v>
      </c>
      <c r="C82" s="25" t="n">
        <f aca="false">MIN(an_s,an_scp)*IF(an_nr=2,MIN(an_c,an_scp/2)+MIN(an_et/2,an_scp/2),2*MIN(an_c,an_scp/2))/an_scp^2</f>
        <v>0.23561275232555</v>
      </c>
      <c r="D82" s="15" t="s">
        <v>74</v>
      </c>
      <c r="E82" s="16"/>
    </row>
    <row r="83" customFormat="false" ht="15" hidden="false" customHeight="true" outlineLevel="0" collapsed="false">
      <c r="A83" s="12" t="s">
        <v>875</v>
      </c>
      <c r="B83" s="13"/>
      <c r="C83" s="25" t="n">
        <f aca="false">MIN(1,0.7+0.3*an_c/(an_scp/2))</f>
        <v>0.874743848822759</v>
      </c>
      <c r="D83" s="15" t="s">
        <v>74</v>
      </c>
      <c r="E83" s="16"/>
    </row>
    <row r="84" customFormat="false" ht="15" hidden="false" customHeight="true" outlineLevel="0" collapsed="false">
      <c r="A84" s="12" t="s">
        <v>876</v>
      </c>
      <c r="B84" s="13" t="s">
        <v>877</v>
      </c>
      <c r="C84" s="20" t="n">
        <f aca="false">an_npz*an_rpn*an_psp*an_prn</f>
        <v>11.6029272110668</v>
      </c>
      <c r="D84" s="15" t="s">
        <v>139</v>
      </c>
      <c r="E84" s="16" t="s">
        <v>878</v>
      </c>
    </row>
    <row r="85" customFormat="false" ht="15" hidden="false" customHeight="true" outlineLevel="0" collapsed="false">
      <c r="A85" s="12" t="s">
        <v>879</v>
      </c>
      <c r="B85" s="13" t="s">
        <v>880</v>
      </c>
      <c r="C85" s="21" t="n">
        <f aca="false">an_nrkp/an_gmc</f>
        <v>6.44607067281488</v>
      </c>
      <c r="D85" s="15" t="s">
        <v>139</v>
      </c>
      <c r="E85" s="16"/>
    </row>
    <row r="86" customFormat="false" ht="15" hidden="false" customHeight="true" outlineLevel="0" collapsed="false">
      <c r="A86" s="12" t="s">
        <v>881</v>
      </c>
      <c r="B86" s="13" t="s">
        <v>882</v>
      </c>
      <c r="C86" s="19" t="n">
        <f aca="false">IF(an_d&lt;=24,MIN(an_hef,12*an_d),MIN(an_hef,MAX(8*an_d,300)))</f>
        <v>160</v>
      </c>
      <c r="D86" s="15" t="s">
        <v>63</v>
      </c>
      <c r="E86" s="16"/>
    </row>
    <row r="87" customFormat="false" ht="15" hidden="false" customHeight="true" outlineLevel="0" collapsed="false">
      <c r="A87" s="12" t="s">
        <v>883</v>
      </c>
      <c r="B87" s="13" t="s">
        <v>884</v>
      </c>
      <c r="C87" s="20" t="n">
        <f aca="false">an_k9*an_d^(0.1*(an_lf/an_c)^0.5)*an_lf^(0.1*(an_d/an_c)^0.2)*SQRT(fck_c)*an_c^1.5/1000</f>
        <v>12.2833642893504</v>
      </c>
      <c r="D87" s="15" t="s">
        <v>139</v>
      </c>
      <c r="E87" s="16" t="s">
        <v>885</v>
      </c>
    </row>
    <row r="88" customFormat="false" ht="15" hidden="false" customHeight="true" outlineLevel="0" collapsed="false">
      <c r="A88" s="12" t="s">
        <v>886</v>
      </c>
      <c r="B88" s="13" t="s">
        <v>887</v>
      </c>
      <c r="C88" s="25" t="n">
        <f aca="false">MIN(an_s,3*an_c)*MIN(1.5*an_c,ex_h)/(4.5*an_c^2)</f>
        <v>0.555555555555556</v>
      </c>
      <c r="D88" s="15" t="s">
        <v>74</v>
      </c>
      <c r="E88" s="16" t="s">
        <v>888</v>
      </c>
    </row>
    <row r="89" customFormat="false" ht="15" hidden="false" customHeight="true" outlineLevel="0" collapsed="false">
      <c r="A89" s="12" t="s">
        <v>889</v>
      </c>
      <c r="B89" s="13"/>
      <c r="C89" s="25" t="n">
        <f aca="false">MAX(1,SQRT(1.5*an_c/ex_h))</f>
        <v>1</v>
      </c>
      <c r="D89" s="15" t="s">
        <v>74</v>
      </c>
      <c r="E89" s="16"/>
    </row>
    <row r="90" customFormat="false" ht="25.5" hidden="false" customHeight="true" outlineLevel="0" collapsed="false">
      <c r="A90" s="12" t="s">
        <v>890</v>
      </c>
      <c r="B90" s="13" t="s">
        <v>891</v>
      </c>
      <c r="C90" s="21" t="n">
        <f aca="false">an_vcz*an_rcv*an_phv*2*IF(an_prv="STANDARD",1,1.4)/1.5</f>
        <v>9.09878836248176</v>
      </c>
      <c r="D90" s="15" t="s">
        <v>139</v>
      </c>
      <c r="E90" s="16" t="s">
        <v>892</v>
      </c>
    </row>
    <row r="91" customFormat="false" ht="15" hidden="false" customHeight="true" outlineLevel="0" collapsed="false">
      <c r="A91" s="12" t="s">
        <v>893</v>
      </c>
      <c r="B91" s="13" t="s">
        <v>894</v>
      </c>
      <c r="C91" s="21" t="n">
        <f aca="false">an_k8*MIN(an_nrkc,an_nrkp)/1.5</f>
        <v>6.73065334991949</v>
      </c>
      <c r="D91" s="15" t="s">
        <v>139</v>
      </c>
      <c r="E91" s="16" t="s">
        <v>895</v>
      </c>
    </row>
    <row r="93" customFormat="false" ht="15" hidden="false" customHeight="false" outlineLevel="0" collapsed="false">
      <c r="A93" s="9" t="s">
        <v>896</v>
      </c>
      <c r="B93" s="10"/>
      <c r="C93" s="10"/>
      <c r="D93" s="10"/>
      <c r="E93" s="10"/>
    </row>
    <row r="94" customFormat="false" ht="15" hidden="false" customHeight="false" outlineLevel="0" collapsed="false">
      <c r="A94" s="11" t="s">
        <v>34</v>
      </c>
      <c r="B94" s="11" t="s">
        <v>35</v>
      </c>
      <c r="C94" s="11" t="s">
        <v>36</v>
      </c>
      <c r="D94" s="11" t="s">
        <v>37</v>
      </c>
      <c r="E94" s="11" t="s">
        <v>38</v>
      </c>
    </row>
    <row r="95" customFormat="false" ht="15" hidden="false" customHeight="true" outlineLevel="0" collapsed="false">
      <c r="A95" s="12" t="s">
        <v>897</v>
      </c>
      <c r="B95" s="13" t="s">
        <v>898</v>
      </c>
      <c r="C95" s="21" t="n">
        <f aca="false">MIN(an_vrs,an_fb,an_vrc,an_vrcp)</f>
        <v>6.73065334991949</v>
      </c>
      <c r="D95" s="15" t="s">
        <v>139</v>
      </c>
      <c r="E95" s="16" t="s">
        <v>899</v>
      </c>
    </row>
    <row r="96" customFormat="false" ht="15" hidden="false" customHeight="true" outlineLevel="0" collapsed="false">
      <c r="A96" s="12" t="s">
        <v>900</v>
      </c>
      <c r="B96" s="13"/>
      <c r="C96" s="33" t="str">
        <f aca="false">IF(an_vrd=an_vrs,"acciaio barra",IF(an_vrd=an_fb,"rifollamento ala profilo",IF(an_vrd=an_vrc,"rottura bordo cls","pry-out")))</f>
        <v>pry-out</v>
      </c>
      <c r="D96" s="15"/>
      <c r="E96" s="16"/>
    </row>
    <row r="97" customFormat="false" ht="15" hidden="false" customHeight="true" outlineLevel="0" collapsed="false">
      <c r="A97" s="12" t="s">
        <v>901</v>
      </c>
      <c r="B97" s="13" t="s">
        <v>902</v>
      </c>
      <c r="C97" s="21" t="n">
        <f aca="false">MIN(an_nrs,an_nrc,an_nrp)</f>
        <v>2.80443889579979</v>
      </c>
      <c r="D97" s="15" t="s">
        <v>139</v>
      </c>
      <c r="E97" s="16"/>
    </row>
    <row r="98" customFormat="false" ht="15" hidden="false" customHeight="true" outlineLevel="0" collapsed="false">
      <c r="A98" s="12" t="s">
        <v>903</v>
      </c>
      <c r="B98" s="13" t="s">
        <v>555</v>
      </c>
      <c r="C98" s="37" t="n">
        <f aca="false">an_nh*an_vrd/cs_ncf</f>
        <v>0.135744269242074</v>
      </c>
      <c r="D98" s="15" t="s">
        <v>74</v>
      </c>
      <c r="E98" s="16" t="s">
        <v>904</v>
      </c>
    </row>
    <row r="99" customFormat="false" ht="15" hidden="false" customHeight="true" outlineLevel="0" collapsed="false">
      <c r="A99" s="12" t="s">
        <v>905</v>
      </c>
      <c r="B99" s="13" t="s">
        <v>906</v>
      </c>
      <c r="C99" s="17" t="n">
        <f aca="false">an_nr*an_vrd*1000/MAX(an_v,an_f*1000/(lu_mm/2))</f>
        <v>219.075350508265</v>
      </c>
      <c r="D99" s="15" t="s">
        <v>63</v>
      </c>
      <c r="E99" s="16" t="s">
        <v>907</v>
      </c>
    </row>
    <row r="100" customFormat="false" ht="15" hidden="false" customHeight="true" outlineLevel="0" collapsed="false">
      <c r="A100" s="12" t="s">
        <v>908</v>
      </c>
      <c r="B100" s="13"/>
      <c r="C100" s="37" t="n">
        <f aca="false">an_ved/an_vrd</f>
        <v>0.68469592609115</v>
      </c>
      <c r="D100" s="15" t="s">
        <v>74</v>
      </c>
      <c r="E100" s="16"/>
    </row>
    <row r="101" customFormat="false" ht="15" hidden="false" customHeight="true" outlineLevel="0" collapsed="false">
      <c r="A101" s="12" t="s">
        <v>909</v>
      </c>
      <c r="B101" s="13"/>
      <c r="C101" s="33" t="str">
        <f aca="false">IF(NOT(sc_n=2),"N.A.",IF(an_rv&lt;=1,"VERIFICATA","NON VERIFICATA"))</f>
        <v>VERIFICATA</v>
      </c>
      <c r="D101" s="15"/>
      <c r="E101" s="16"/>
    </row>
    <row r="102" customFormat="false" ht="15" hidden="false" customHeight="true" outlineLevel="0" collapsed="false">
      <c r="A102" s="12" t="s">
        <v>910</v>
      </c>
      <c r="B102" s="13"/>
      <c r="C102" s="37" t="n">
        <f aca="false">an_ned/an_nrd</f>
        <v>0.164327022261876</v>
      </c>
      <c r="D102" s="15" t="s">
        <v>74</v>
      </c>
      <c r="E102" s="16"/>
    </row>
    <row r="103" customFormat="false" ht="15" hidden="false" customHeight="true" outlineLevel="0" collapsed="false">
      <c r="A103" s="12" t="s">
        <v>911</v>
      </c>
      <c r="B103" s="13"/>
      <c r="C103" s="33" t="str">
        <f aca="false">IF(NOT(sc_n=2),"N.A.",IF(an_rn&lt;=1,"VERIFICATA","NON VERIFICATA"))</f>
        <v>VERIFICATA</v>
      </c>
      <c r="D103" s="15"/>
      <c r="E103" s="16"/>
    </row>
    <row r="104" customFormat="false" ht="15" hidden="false" customHeight="true" outlineLevel="0" collapsed="false">
      <c r="A104" s="12" t="s">
        <v>912</v>
      </c>
      <c r="B104" s="13"/>
      <c r="C104" s="37" t="n">
        <f aca="false">(an_ned/an_nrs)^2+(an_ved/an_vrs)^2</f>
        <v>0.153243807329102</v>
      </c>
      <c r="D104" s="15" t="s">
        <v>74</v>
      </c>
      <c r="E104" s="16" t="s">
        <v>913</v>
      </c>
    </row>
    <row r="105" customFormat="false" ht="15" hidden="false" customHeight="true" outlineLevel="0" collapsed="false">
      <c r="A105" s="12" t="s">
        <v>914</v>
      </c>
      <c r="B105" s="13"/>
      <c r="C105" s="33" t="str">
        <f aca="false">IF(NOT(sc_n=2),"N.A.",IF(an_is&lt;=1,"VERIFICATA","NON VERIFICATA"))</f>
        <v>VERIFICATA</v>
      </c>
      <c r="D105" s="15"/>
      <c r="E105" s="16"/>
    </row>
    <row r="106" customFormat="false" ht="15" hidden="false" customHeight="true" outlineLevel="0" collapsed="false">
      <c r="A106" s="12" t="s">
        <v>915</v>
      </c>
      <c r="B106" s="13"/>
      <c r="C106" s="37" t="n">
        <f aca="false">(an_ned/MIN(an_nrc,an_nrp))^1.5+(an_ved/MIN(an_vrc,an_vrcp))^1.5</f>
        <v>0.633174609431032</v>
      </c>
      <c r="D106" s="15" t="s">
        <v>74</v>
      </c>
      <c r="E106" s="16" t="s">
        <v>916</v>
      </c>
    </row>
    <row r="107" customFormat="false" ht="15" hidden="false" customHeight="true" outlineLevel="0" collapsed="false">
      <c r="A107" s="12" t="s">
        <v>917</v>
      </c>
      <c r="B107" s="13"/>
      <c r="C107" s="33" t="str">
        <f aca="false">IF(NOT(sc_n=2),"N.A.",IF(an_ic&lt;=1,"VERIFICATA","NON VERIFICATA"))</f>
        <v>VERIFICATA</v>
      </c>
      <c r="D107" s="15"/>
      <c r="E107" s="16"/>
    </row>
    <row r="108" customFormat="false" ht="15" hidden="false" customHeight="true" outlineLevel="0" collapsed="false">
      <c r="A108" s="12" t="s">
        <v>918</v>
      </c>
      <c r="B108" s="13"/>
      <c r="C108" s="33" t="str">
        <f aca="false">IF(OR(sc_n&lt;&gt;2,an_crit&lt;&gt;"PLASTICA"),"N.A.",IF(an_eta&gt;=1,"VERIFICATA","NON VERIFICATA"))</f>
        <v>N.A.</v>
      </c>
      <c r="D108" s="15"/>
      <c r="E108" s="16"/>
    </row>
    <row r="110" customFormat="false" ht="15" hidden="false" customHeight="false" outlineLevel="0" collapsed="false">
      <c r="A110" s="9" t="s">
        <v>919</v>
      </c>
      <c r="B110" s="10"/>
      <c r="C110" s="10"/>
      <c r="D110" s="10"/>
      <c r="E110" s="10"/>
    </row>
    <row r="111" customFormat="false" ht="15" hidden="false" customHeight="false" outlineLevel="0" collapsed="false">
      <c r="A111" s="11" t="s">
        <v>34</v>
      </c>
      <c r="B111" s="11" t="s">
        <v>35</v>
      </c>
      <c r="C111" s="11" t="s">
        <v>36</v>
      </c>
      <c r="D111" s="11" t="s">
        <v>37</v>
      </c>
      <c r="E111" s="11" t="s">
        <v>38</v>
      </c>
    </row>
    <row r="112" customFormat="false" ht="15" hidden="false" customHeight="true" outlineLevel="0" collapsed="false">
      <c r="A112" s="12" t="s">
        <v>920</v>
      </c>
      <c r="B112" s="13"/>
      <c r="C112" s="33" t="str">
        <f aca="false">IF(sc_n&lt;&gt;2,"N.A.",IF(an_c&gt;=an_cmin,"OK","NON VERIFICATA"))</f>
        <v>OK</v>
      </c>
      <c r="D112" s="15"/>
      <c r="E112" s="16" t="s">
        <v>921</v>
      </c>
    </row>
    <row r="113" customFormat="false" ht="15" hidden="false" customHeight="true" outlineLevel="0" collapsed="false">
      <c r="A113" s="12" t="s">
        <v>922</v>
      </c>
      <c r="B113" s="13"/>
      <c r="C113" s="33" t="str">
        <f aca="false">IF(sc_n&lt;&gt;2,"N.A.",IF(an_s&gt;=an_smin,"OK","NON VERIFICATA"))</f>
        <v>OK</v>
      </c>
      <c r="D113" s="15"/>
      <c r="E113" s="16"/>
    </row>
    <row r="114" customFormat="false" ht="15" hidden="false" customHeight="true" outlineLevel="0" collapsed="false">
      <c r="A114" s="12" t="s">
        <v>923</v>
      </c>
      <c r="B114" s="13"/>
      <c r="C114" s="33" t="str">
        <f aca="false">IF(sc_n&lt;&gt;2,"N.A.",IF(OR(an_nr=1,an_et&gt;=an_smin),"OK","NON VERIFICATA"))</f>
        <v>OK</v>
      </c>
      <c r="D114" s="15"/>
      <c r="E114" s="16"/>
    </row>
    <row r="115" customFormat="false" ht="15" hidden="false" customHeight="true" outlineLevel="0" collapsed="false">
      <c r="A115" s="12" t="s">
        <v>924</v>
      </c>
      <c r="B115" s="13"/>
      <c r="C115" s="33" t="str">
        <f aca="false">IF(sc_n&lt;&gt;2,"N.A.",IF(an_et&gt;=a_tw+2*a_r+2*an_d,"OK","ATTENZIONE: spazio insufficiente per dado/chiave"))</f>
        <v>OK</v>
      </c>
      <c r="D115" s="15"/>
      <c r="E115" s="16" t="s">
        <v>925</v>
      </c>
    </row>
    <row r="116" customFormat="false" ht="15" hidden="false" customHeight="true" outlineLevel="0" collapsed="false">
      <c r="A116" s="12" t="s">
        <v>926</v>
      </c>
      <c r="B116" s="13"/>
      <c r="C116" s="33" t="str">
        <f aca="false">IF(sc_n&lt;&gt;2,"N.A.",IF(an_e2&gt;=1.2*an_d0,"OK","NON VERIFICATA"))</f>
        <v>OK</v>
      </c>
      <c r="D116" s="15"/>
      <c r="E116" s="16"/>
    </row>
    <row r="117" customFormat="false" ht="15" hidden="false" customHeight="true" outlineLevel="0" collapsed="false">
      <c r="A117" s="12" t="s">
        <v>927</v>
      </c>
      <c r="B117" s="13"/>
      <c r="C117" s="33" t="str">
        <f aca="false">IF(sc_n&lt;&gt;2,"N.A.",IF(ex_h-an_hef&gt;=MAX(30,2*(an_d+4)),"OK","NON VERIFICATA"))</f>
        <v>OK</v>
      </c>
      <c r="D117" s="15"/>
      <c r="E117" s="16" t="s">
        <v>928</v>
      </c>
    </row>
    <row r="118" customFormat="false" ht="15" hidden="false" customHeight="true" outlineLevel="0" collapsed="false">
      <c r="A118" s="12" t="s">
        <v>929</v>
      </c>
      <c r="B118" s="13"/>
      <c r="C118" s="33" t="str">
        <f aca="false">IF(sc_n&lt;&gt;2,"N.A.",IF(an_s&lt;=an_smax,"OK","NON VERIFICATA"))</f>
        <v>OK</v>
      </c>
      <c r="D118" s="15"/>
      <c r="E118" s="16"/>
    </row>
    <row r="119" customFormat="false" ht="15" hidden="false" customHeight="true" outlineLevel="0" collapsed="false">
      <c r="A119" s="12" t="s">
        <v>930</v>
      </c>
      <c r="B119" s="13"/>
      <c r="C119" s="33" t="str">
        <f aca="false">IF(sc_n&lt;&gt;2,"N.A.",IF(an_s&lt;=22*a_ts*eps_a,"OK","ATTENZIONE: ala compressa non stabilizzata (rilevante se xpl nel profilo)"))</f>
        <v>OK</v>
      </c>
      <c r="D119" s="15"/>
      <c r="E119" s="16" t="s">
        <v>931</v>
      </c>
    </row>
    <row r="120" customFormat="false" ht="42" hidden="false" customHeight="true" outlineLevel="0" collapsed="false">
      <c r="A120" s="34" t="s">
        <v>932</v>
      </c>
      <c r="B120" s="34"/>
      <c r="C120" s="34"/>
      <c r="D120" s="34"/>
      <c r="E120" s="34"/>
    </row>
  </sheetData>
  <mergeCells count="4">
    <mergeCell ref="A1:E1"/>
    <mergeCell ref="A2:E2"/>
    <mergeCell ref="A3:E3"/>
    <mergeCell ref="A120:E120"/>
  </mergeCells>
  <conditionalFormatting sqref="C8:C140">
    <cfRule type="expression" priority="2" aboveAverage="0" equalAverage="0" bottom="0" percent="0" rank="0" text="" dxfId="0">
      <formula>ISNUMBER(SEARCH("NON",C8))</formula>
    </cfRule>
    <cfRule type="expression" priority="3" aboveAverage="0" equalAverage="0" bottom="0" percent="0" rank="0" text="" dxfId="1">
      <formula>ISNUMBER(SEARCH("N.A.",C8))</formula>
    </cfRule>
    <cfRule type="expression" priority="4" aboveAverage="0" equalAverage="0" bottom="0" percent="0" rank="0" text="" dxfId="2">
      <formula>OR(ISNUMBER(SEARCH("VERIFICATA",C8)),C8="OK")</formula>
    </cfRule>
    <cfRule type="expression" priority="5" aboveAverage="0" equalAverage="0" bottom="0" percent="0" rank="0" text="" dxfId="3">
      <formula>ISNUMBER(SEARCH("ATTENZIONE",C8))</formula>
    </cfRule>
  </conditionalFormatting>
  <dataValidations count="7">
    <dataValidation allowBlank="false" error="Scegliere un valore dall'elenco." errorStyle="stop" errorTitle="Valore non ammesso" operator="between" prompt="ELASTICA consigliata per ancoranti non duttili." promptTitle="Criterio" showDropDown="false" showErrorMessage="true" showInputMessage="true" sqref="C8" type="list">
      <formula1>"ELASTICA,PLASTICA"</formula1>
      <formula2>0</formula2>
    </dataValidation>
    <dataValidation allowBlank="false" error="Scegliere un valore dall'elenco." errorStyle="stop" errorTitle="Valore non ammesso" operator="between" prompt="Diametro barra filettata." promptTitle="Barra" showDropDown="false" showErrorMessage="true" showInputMessage="true" sqref="C12" type="list">
      <formula1>"M10,M12,M16,M20,M24,M27,M30"</formula1>
      <formula2>0</formula2>
    </dataValidation>
    <dataValidation allowBlank="false" error="Scegliere un valore dall'elenco." errorStyle="stop" errorTitle="Valore non ammesso" operator="between" prompt="Classe di resistenza della barra." promptTitle="Classe" showDropDown="false" showErrorMessage="true" showInputMessage="true" sqref="C13" type="list">
      <formula1>"4.6,5.8,8.8,10.9,A4-70,A4-80"</formula1>
      <formula2>0</formula2>
    </dataValidation>
    <dataValidation allowBlank="false" error="Scegliere un valore dall'elenco." errorStyle="stop" errorTitle="Valore non ammesso" operator="between" prompt="Stato del calcestruzzo nella zona di ancoraggio." promptTitle="Cls" showDropDown="false" showErrorMessage="true" showInputMessage="true" sqref="C19" type="list">
      <formula1>"FESSURATO,NON FESSURATO"</formula1>
      <formula2>0</formula2>
    </dataValidation>
    <dataValidation allowBlank="false" error="Scegliere un valore dall'elenco." errorStyle="stop" errorTitle="Valore non ammesso" operator="between" prompt="STANDARD = 1,0. ARMATURA DI BORDO = 1,4 (barra di bordo &gt;= 12 mm e staffe a passo &lt;= 100 mm)." promptTitle="psi re,V" showDropDown="false" showErrorMessage="true" showInputMessage="true" sqref="C20" type="list">
      <formula1>"STANDARD,ARMATURA DI BORDO"</formula1>
      <formula2>0</formula2>
    </dataValidation>
    <dataValidation allowBlank="false" error="Scegliere un valore dall'elenco." errorStyle="stop" errorTitle="Valore non ammesso" operator="between" prompt="Armatura con passo &lt; 150 mm (o &lt; 100 per phi&lt;=10) nella zona di ancoraggio?" promptTitle="Armatura fitta" showDropDown="false" showErrorMessage="true" showInputMessage="true" sqref="C21" type="list">
      <formula1>"SI,NO"</formula1>
      <formula2>0</formula2>
    </dataValidation>
    <dataValidation allowBlank="false" error="Scegliere un valore dall'elenco." errorStyle="stop" errorTitle="Valore non ammesso" operator="between" prompt="Numero di barre per sezione trasversale." promptTitle="File" showDropDown="false" showErrorMessage="true" showInputMessage="true" sqref="C29" type="list">
      <formula1>"1,2"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E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95"/>
  </cols>
  <sheetData>
    <row r="1" customFormat="false" ht="25.5" hidden="false" customHeight="true" outlineLevel="0" collapsed="false">
      <c r="A1" s="6" t="s">
        <v>933</v>
      </c>
      <c r="B1" s="6"/>
      <c r="C1" s="6"/>
      <c r="D1" s="6"/>
      <c r="E1" s="6"/>
    </row>
    <row r="2" customFormat="false" ht="42" hidden="false" customHeight="true" outlineLevel="0" collapsed="false">
      <c r="A2" s="7" t="s">
        <v>934</v>
      </c>
      <c r="B2" s="7"/>
      <c r="C2" s="7"/>
      <c r="D2" s="7"/>
      <c r="E2" s="7"/>
    </row>
    <row r="3" customFormat="false" ht="15" hidden="false" customHeight="false" outlineLevel="0" collapsed="false">
      <c r="A3" s="8" t="s">
        <v>32</v>
      </c>
      <c r="B3" s="8"/>
      <c r="C3" s="8"/>
      <c r="D3" s="8"/>
      <c r="E3" s="8"/>
    </row>
    <row r="6" customFormat="false" ht="15" hidden="false" customHeight="false" outlineLevel="0" collapsed="false">
      <c r="A6" s="9" t="s">
        <v>935</v>
      </c>
      <c r="B6" s="10"/>
      <c r="C6" s="10"/>
      <c r="D6" s="10"/>
      <c r="E6" s="10"/>
    </row>
    <row r="7" customFormat="false" ht="15" hidden="false" customHeight="false" outlineLevel="0" collapsed="false">
      <c r="A7" s="11" t="s">
        <v>34</v>
      </c>
      <c r="B7" s="11" t="s">
        <v>35</v>
      </c>
      <c r="C7" s="11" t="s">
        <v>36</v>
      </c>
      <c r="D7" s="11" t="s">
        <v>37</v>
      </c>
      <c r="E7" s="11" t="s">
        <v>38</v>
      </c>
    </row>
    <row r="8" customFormat="false" ht="25.5" hidden="false" customHeight="true" outlineLevel="0" collapsed="false">
      <c r="A8" s="12" t="s">
        <v>936</v>
      </c>
      <c r="B8" s="13"/>
      <c r="C8" s="18" t="n">
        <v>1</v>
      </c>
      <c r="D8" s="15" t="s">
        <v>74</v>
      </c>
      <c r="E8" s="16" t="s">
        <v>937</v>
      </c>
    </row>
    <row r="9" customFormat="false" ht="15" hidden="false" customHeight="true" outlineLevel="0" collapsed="false">
      <c r="A9" s="12" t="s">
        <v>938</v>
      </c>
      <c r="B9" s="13" t="s">
        <v>149</v>
      </c>
      <c r="C9" s="24" t="n">
        <f aca="false">nd_q*IF(an_crit="PLASTICA",v_ed,v_comp)</f>
        <v>36</v>
      </c>
      <c r="D9" s="15" t="s">
        <v>139</v>
      </c>
      <c r="E9" s="16" t="s">
        <v>939</v>
      </c>
    </row>
    <row r="10" customFormat="false" ht="25.5" hidden="false" customHeight="true" outlineLevel="0" collapsed="false">
      <c r="A10" s="12" t="s">
        <v>940</v>
      </c>
      <c r="B10" s="13" t="s">
        <v>941</v>
      </c>
      <c r="C10" s="26" t="n">
        <v>60</v>
      </c>
      <c r="D10" s="15" t="s">
        <v>63</v>
      </c>
      <c r="E10" s="16" t="s">
        <v>942</v>
      </c>
    </row>
    <row r="11" customFormat="false" ht="15" hidden="false" customHeight="true" outlineLevel="0" collapsed="false">
      <c r="A11" s="12" t="s">
        <v>943</v>
      </c>
      <c r="B11" s="13" t="s">
        <v>804</v>
      </c>
      <c r="C11" s="23" t="n">
        <v>0</v>
      </c>
      <c r="D11" s="15" t="s">
        <v>139</v>
      </c>
      <c r="E11" s="16" t="s">
        <v>944</v>
      </c>
    </row>
    <row r="12" customFormat="false" ht="15" hidden="false" customHeight="true" outlineLevel="0" collapsed="false">
      <c r="A12" s="12" t="s">
        <v>945</v>
      </c>
      <c r="B12" s="13" t="s">
        <v>146</v>
      </c>
      <c r="C12" s="20" t="n">
        <f aca="false">nd_v*nd_e/1000</f>
        <v>2.16</v>
      </c>
      <c r="D12" s="15" t="s">
        <v>136</v>
      </c>
      <c r="E12" s="16" t="s">
        <v>946</v>
      </c>
    </row>
    <row r="14" customFormat="false" ht="15" hidden="false" customHeight="false" outlineLevel="0" collapsed="false">
      <c r="A14" s="9" t="s">
        <v>947</v>
      </c>
      <c r="B14" s="10"/>
      <c r="C14" s="10"/>
      <c r="D14" s="10"/>
      <c r="E14" s="10"/>
    </row>
    <row r="15" customFormat="false" ht="15" hidden="false" customHeight="false" outlineLevel="0" collapsed="false">
      <c r="A15" s="11" t="s">
        <v>34</v>
      </c>
      <c r="B15" s="11" t="s">
        <v>35</v>
      </c>
      <c r="C15" s="11" t="s">
        <v>36</v>
      </c>
      <c r="D15" s="11" t="s">
        <v>37</v>
      </c>
      <c r="E15" s="11" t="s">
        <v>38</v>
      </c>
    </row>
    <row r="16" customFormat="false" ht="15" hidden="false" customHeight="true" outlineLevel="0" collapsed="false">
      <c r="A16" s="12" t="s">
        <v>948</v>
      </c>
      <c r="B16" s="13" t="s">
        <v>949</v>
      </c>
      <c r="C16" s="26" t="n">
        <v>350</v>
      </c>
      <c r="D16" s="15" t="s">
        <v>63</v>
      </c>
      <c r="E16" s="16" t="s">
        <v>950</v>
      </c>
    </row>
    <row r="17" customFormat="false" ht="15" hidden="false" customHeight="true" outlineLevel="0" collapsed="false">
      <c r="A17" s="12" t="s">
        <v>951</v>
      </c>
      <c r="B17" s="13" t="s">
        <v>952</v>
      </c>
      <c r="C17" s="26" t="n">
        <v>400</v>
      </c>
      <c r="D17" s="15" t="s">
        <v>63</v>
      </c>
      <c r="E17" s="16" t="s">
        <v>953</v>
      </c>
    </row>
    <row r="18" customFormat="false" ht="25.5" hidden="false" customHeight="true" outlineLevel="0" collapsed="false">
      <c r="A18" s="12" t="s">
        <v>954</v>
      </c>
      <c r="B18" s="13" t="s">
        <v>955</v>
      </c>
      <c r="C18" s="26" t="n">
        <v>1000</v>
      </c>
      <c r="D18" s="15" t="s">
        <v>63</v>
      </c>
      <c r="E18" s="16" t="s">
        <v>956</v>
      </c>
    </row>
    <row r="19" customFormat="false" ht="15" hidden="false" customHeight="true" outlineLevel="0" collapsed="false">
      <c r="A19" s="12" t="s">
        <v>957</v>
      </c>
      <c r="B19" s="13" t="s">
        <v>958</v>
      </c>
      <c r="C19" s="26" t="n">
        <v>240</v>
      </c>
      <c r="D19" s="15" t="s">
        <v>63</v>
      </c>
      <c r="E19" s="16"/>
    </row>
    <row r="20" customFormat="false" ht="15" hidden="false" customHeight="true" outlineLevel="0" collapsed="false">
      <c r="A20" s="12" t="s">
        <v>959</v>
      </c>
      <c r="B20" s="13" t="s">
        <v>366</v>
      </c>
      <c r="C20" s="26" t="n">
        <v>340</v>
      </c>
      <c r="D20" s="15" t="s">
        <v>63</v>
      </c>
      <c r="E20" s="16"/>
    </row>
    <row r="21" customFormat="false" ht="15" hidden="false" customHeight="true" outlineLevel="0" collapsed="false">
      <c r="A21" s="12" t="s">
        <v>960</v>
      </c>
      <c r="B21" s="13" t="s">
        <v>961</v>
      </c>
      <c r="C21" s="26" t="n">
        <v>15</v>
      </c>
      <c r="D21" s="15" t="s">
        <v>63</v>
      </c>
      <c r="E21" s="16" t="s">
        <v>962</v>
      </c>
    </row>
    <row r="22" customFormat="false" ht="15" hidden="false" customHeight="true" outlineLevel="0" collapsed="false">
      <c r="A22" s="12" t="s">
        <v>963</v>
      </c>
      <c r="B22" s="13"/>
      <c r="C22" s="14" t="s">
        <v>181</v>
      </c>
      <c r="D22" s="15"/>
      <c r="E22" s="16"/>
    </row>
    <row r="23" customFormat="false" ht="15" hidden="false" customHeight="true" outlineLevel="0" collapsed="false">
      <c r="A23" s="12" t="s">
        <v>964</v>
      </c>
      <c r="B23" s="13" t="s">
        <v>631</v>
      </c>
      <c r="C23" s="19" t="n">
        <f aca="false">INDEX(tb_stfu,MATCH(nd_pg,tb_st,0))</f>
        <v>430</v>
      </c>
      <c r="D23" s="15" t="s">
        <v>185</v>
      </c>
      <c r="E23" s="16"/>
    </row>
    <row r="24" customFormat="false" ht="15" hidden="false" customHeight="true" outlineLevel="0" collapsed="false">
      <c r="A24" s="12" t="s">
        <v>965</v>
      </c>
      <c r="B24" s="13" t="s">
        <v>966</v>
      </c>
      <c r="C24" s="26" t="n">
        <v>45</v>
      </c>
      <c r="D24" s="15" t="s">
        <v>63</v>
      </c>
      <c r="E24" s="16" t="s">
        <v>967</v>
      </c>
    </row>
    <row r="25" customFormat="false" ht="15" hidden="false" customHeight="true" outlineLevel="0" collapsed="false">
      <c r="A25" s="12" t="s">
        <v>968</v>
      </c>
      <c r="B25" s="13" t="s">
        <v>426</v>
      </c>
      <c r="C25" s="26" t="n">
        <v>5</v>
      </c>
      <c r="D25" s="15" t="s">
        <v>63</v>
      </c>
      <c r="E25" s="16" t="s">
        <v>969</v>
      </c>
    </row>
    <row r="26" customFormat="false" ht="15" hidden="false" customHeight="true" outlineLevel="0" collapsed="false">
      <c r="A26" s="12" t="s">
        <v>970</v>
      </c>
      <c r="B26" s="13"/>
      <c r="C26" s="14" t="s">
        <v>374</v>
      </c>
      <c r="D26" s="15"/>
      <c r="E26" s="16"/>
    </row>
    <row r="28" customFormat="false" ht="15" hidden="false" customHeight="false" outlineLevel="0" collapsed="false">
      <c r="A28" s="9" t="s">
        <v>971</v>
      </c>
      <c r="B28" s="10"/>
      <c r="C28" s="10"/>
      <c r="D28" s="10"/>
      <c r="E28" s="10"/>
    </row>
    <row r="29" customFormat="false" ht="15" hidden="false" customHeight="false" outlineLevel="0" collapsed="false">
      <c r="A29" s="11" t="s">
        <v>34</v>
      </c>
      <c r="B29" s="11" t="s">
        <v>35</v>
      </c>
      <c r="C29" s="11" t="s">
        <v>36</v>
      </c>
      <c r="D29" s="11" t="s">
        <v>37</v>
      </c>
      <c r="E29" s="11" t="s">
        <v>38</v>
      </c>
    </row>
    <row r="30" customFormat="false" ht="15" hidden="false" customHeight="true" outlineLevel="0" collapsed="false">
      <c r="A30" s="12" t="s">
        <v>731</v>
      </c>
      <c r="B30" s="13"/>
      <c r="C30" s="14" t="s">
        <v>732</v>
      </c>
      <c r="D30" s="15"/>
      <c r="E30" s="16" t="s">
        <v>733</v>
      </c>
    </row>
    <row r="31" customFormat="false" ht="15" hidden="false" customHeight="true" outlineLevel="0" collapsed="false">
      <c r="A31" s="12" t="s">
        <v>734</v>
      </c>
      <c r="B31" s="13"/>
      <c r="C31" s="14" t="s">
        <v>735</v>
      </c>
      <c r="D31" s="15"/>
      <c r="E31" s="16" t="s">
        <v>736</v>
      </c>
    </row>
    <row r="32" customFormat="false" ht="15" hidden="false" customHeight="true" outlineLevel="0" collapsed="false">
      <c r="A32" s="12" t="s">
        <v>737</v>
      </c>
      <c r="B32" s="13" t="s">
        <v>738</v>
      </c>
      <c r="C32" s="26" t="n">
        <v>160</v>
      </c>
      <c r="D32" s="15" t="s">
        <v>63</v>
      </c>
      <c r="E32" s="16" t="s">
        <v>739</v>
      </c>
    </row>
    <row r="33" customFormat="false" ht="25.5" hidden="false" customHeight="true" outlineLevel="0" collapsed="false">
      <c r="A33" s="12" t="s">
        <v>740</v>
      </c>
      <c r="B33" s="13" t="s">
        <v>741</v>
      </c>
      <c r="C33" s="18" t="n">
        <v>7</v>
      </c>
      <c r="D33" s="15" t="s">
        <v>185</v>
      </c>
      <c r="E33" s="16" t="s">
        <v>742</v>
      </c>
    </row>
    <row r="34" customFormat="false" ht="15" hidden="false" customHeight="true" outlineLevel="0" collapsed="false">
      <c r="A34" s="12" t="s">
        <v>743</v>
      </c>
      <c r="B34" s="13" t="s">
        <v>744</v>
      </c>
      <c r="C34" s="18" t="n">
        <v>1</v>
      </c>
      <c r="D34" s="15" t="s">
        <v>74</v>
      </c>
      <c r="E34" s="16" t="s">
        <v>745</v>
      </c>
    </row>
    <row r="35" customFormat="false" ht="15" hidden="false" customHeight="true" outlineLevel="0" collapsed="false">
      <c r="A35" s="12" t="s">
        <v>746</v>
      </c>
      <c r="B35" s="13" t="s">
        <v>747</v>
      </c>
      <c r="C35" s="18" t="n">
        <v>1.2</v>
      </c>
      <c r="D35" s="15" t="s">
        <v>74</v>
      </c>
      <c r="E35" s="16" t="s">
        <v>748</v>
      </c>
    </row>
    <row r="36" customFormat="false" ht="15" hidden="false" customHeight="true" outlineLevel="0" collapsed="false">
      <c r="A36" s="12" t="s">
        <v>749</v>
      </c>
      <c r="B36" s="13" t="s">
        <v>750</v>
      </c>
      <c r="C36" s="18" t="n">
        <v>2</v>
      </c>
      <c r="D36" s="15" t="s">
        <v>74</v>
      </c>
      <c r="E36" s="16" t="s">
        <v>751</v>
      </c>
    </row>
    <row r="37" customFormat="false" ht="25.5" hidden="false" customHeight="true" outlineLevel="0" collapsed="false">
      <c r="A37" s="12" t="s">
        <v>752</v>
      </c>
      <c r="B37" s="13"/>
      <c r="C37" s="14" t="s">
        <v>753</v>
      </c>
      <c r="D37" s="15"/>
      <c r="E37" s="16" t="s">
        <v>754</v>
      </c>
    </row>
    <row r="38" customFormat="false" ht="15" hidden="false" customHeight="true" outlineLevel="0" collapsed="false">
      <c r="A38" s="12" t="s">
        <v>755</v>
      </c>
      <c r="B38" s="13" t="s">
        <v>756</v>
      </c>
      <c r="C38" s="14" t="s">
        <v>757</v>
      </c>
      <c r="D38" s="15"/>
      <c r="E38" s="16" t="s">
        <v>758</v>
      </c>
    </row>
    <row r="39" customFormat="false" ht="15" hidden="false" customHeight="true" outlineLevel="0" collapsed="false">
      <c r="A39" s="12" t="s">
        <v>759</v>
      </c>
      <c r="B39" s="13"/>
      <c r="C39" s="14" t="s">
        <v>374</v>
      </c>
      <c r="D39" s="15"/>
      <c r="E39" s="16" t="s">
        <v>760</v>
      </c>
    </row>
    <row r="40" customFormat="false" ht="15" hidden="false" customHeight="true" outlineLevel="0" collapsed="false">
      <c r="A40" s="12" t="s">
        <v>761</v>
      </c>
      <c r="B40" s="13" t="s">
        <v>762</v>
      </c>
      <c r="C40" s="26" t="n">
        <v>80</v>
      </c>
      <c r="D40" s="15" t="s">
        <v>63</v>
      </c>
      <c r="E40" s="16" t="s">
        <v>763</v>
      </c>
    </row>
    <row r="41" customFormat="false" ht="15" hidden="false" customHeight="true" outlineLevel="0" collapsed="false">
      <c r="A41" s="12" t="s">
        <v>764</v>
      </c>
      <c r="B41" s="13" t="s">
        <v>765</v>
      </c>
      <c r="C41" s="26" t="n">
        <v>80</v>
      </c>
      <c r="D41" s="15" t="s">
        <v>63</v>
      </c>
      <c r="E41" s="16" t="s">
        <v>763</v>
      </c>
    </row>
    <row r="42" customFormat="false" ht="25.5" hidden="false" customHeight="true" outlineLevel="0" collapsed="false">
      <c r="A42" s="12" t="s">
        <v>766</v>
      </c>
      <c r="B42" s="13" t="s">
        <v>767</v>
      </c>
      <c r="C42" s="26" t="n">
        <v>18</v>
      </c>
      <c r="D42" s="15" t="s">
        <v>63</v>
      </c>
      <c r="E42" s="16" t="s">
        <v>768</v>
      </c>
    </row>
    <row r="43" customFormat="false" ht="15" hidden="false" customHeight="true" outlineLevel="0" collapsed="false">
      <c r="A43" s="12" t="s">
        <v>769</v>
      </c>
      <c r="B43" s="13" t="s">
        <v>770</v>
      </c>
      <c r="C43" s="18" t="n">
        <v>1</v>
      </c>
      <c r="D43" s="15" t="s">
        <v>74</v>
      </c>
      <c r="E43" s="16" t="s">
        <v>771</v>
      </c>
    </row>
    <row r="44" customFormat="false" ht="15" hidden="false" customHeight="true" outlineLevel="0" collapsed="false">
      <c r="A44" s="12" t="s">
        <v>972</v>
      </c>
      <c r="B44" s="13" t="s">
        <v>973</v>
      </c>
      <c r="C44" s="26" t="n">
        <v>2</v>
      </c>
      <c r="D44" s="15" t="s">
        <v>74</v>
      </c>
      <c r="E44" s="16" t="s">
        <v>974</v>
      </c>
    </row>
    <row r="45" customFormat="false" ht="15" hidden="false" customHeight="true" outlineLevel="0" collapsed="false">
      <c r="A45" s="12" t="s">
        <v>975</v>
      </c>
      <c r="B45" s="13" t="s">
        <v>976</v>
      </c>
      <c r="C45" s="26" t="n">
        <v>3</v>
      </c>
      <c r="D45" s="15" t="s">
        <v>74</v>
      </c>
      <c r="E45" s="16" t="s">
        <v>977</v>
      </c>
    </row>
    <row r="46" customFormat="false" ht="15" hidden="false" customHeight="true" outlineLevel="0" collapsed="false">
      <c r="A46" s="12" t="s">
        <v>978</v>
      </c>
      <c r="B46" s="13" t="s">
        <v>979</v>
      </c>
      <c r="C46" s="26" t="n">
        <v>150</v>
      </c>
      <c r="D46" s="15" t="s">
        <v>63</v>
      </c>
      <c r="E46" s="16"/>
    </row>
    <row r="47" customFormat="false" ht="15" hidden="false" customHeight="true" outlineLevel="0" collapsed="false">
      <c r="A47" s="12" t="s">
        <v>980</v>
      </c>
      <c r="B47" s="13" t="s">
        <v>981</v>
      </c>
      <c r="C47" s="26" t="n">
        <v>120</v>
      </c>
      <c r="D47" s="15" t="s">
        <v>63</v>
      </c>
      <c r="E47" s="16"/>
    </row>
    <row r="48" customFormat="false" ht="25.5" hidden="false" customHeight="true" outlineLevel="0" collapsed="false">
      <c r="A48" s="12" t="s">
        <v>982</v>
      </c>
      <c r="B48" s="13" t="s">
        <v>983</v>
      </c>
      <c r="C48" s="26" t="n">
        <v>0</v>
      </c>
      <c r="D48" s="15" t="s">
        <v>63</v>
      </c>
      <c r="E48" s="16" t="s">
        <v>984</v>
      </c>
    </row>
    <row r="50" customFormat="false" ht="15" hidden="false" customHeight="false" outlineLevel="0" collapsed="false">
      <c r="A50" s="9" t="s">
        <v>985</v>
      </c>
      <c r="B50" s="10"/>
      <c r="C50" s="10"/>
      <c r="D50" s="10"/>
      <c r="E50" s="10"/>
    </row>
    <row r="51" customFormat="false" ht="15" hidden="false" customHeight="false" outlineLevel="0" collapsed="false">
      <c r="A51" s="11" t="s">
        <v>34</v>
      </c>
      <c r="B51" s="11" t="s">
        <v>35</v>
      </c>
      <c r="C51" s="11" t="s">
        <v>36</v>
      </c>
      <c r="D51" s="11" t="s">
        <v>37</v>
      </c>
      <c r="E51" s="11" t="s">
        <v>38</v>
      </c>
    </row>
    <row r="52" customFormat="false" ht="15" hidden="false" customHeight="true" outlineLevel="0" collapsed="false">
      <c r="A52" s="12" t="s">
        <v>986</v>
      </c>
      <c r="B52" s="13" t="s">
        <v>987</v>
      </c>
      <c r="C52" s="17" t="n">
        <f aca="false">(nd_cb-(nd_nx-1)*nd_sx)/2</f>
        <v>100</v>
      </c>
      <c r="D52" s="15" t="s">
        <v>63</v>
      </c>
      <c r="E52" s="16" t="s">
        <v>988</v>
      </c>
    </row>
    <row r="53" customFormat="false" ht="15" hidden="false" customHeight="true" outlineLevel="0" collapsed="false">
      <c r="A53" s="12" t="s">
        <v>989</v>
      </c>
      <c r="B53" s="13"/>
      <c r="C53" s="19" t="n">
        <f aca="false">nd_hp/2+(nd_ny-1)*nd_sy/2</f>
        <v>290</v>
      </c>
      <c r="D53" s="15" t="s">
        <v>63</v>
      </c>
      <c r="E53" s="16"/>
    </row>
    <row r="54" customFormat="false" ht="15" hidden="false" customHeight="true" outlineLevel="0" collapsed="false">
      <c r="A54" s="12" t="s">
        <v>990</v>
      </c>
      <c r="B54" s="13" t="s">
        <v>983</v>
      </c>
      <c r="C54" s="19" t="n">
        <f aca="false">IF(nd_zm&gt;0,nd_zm,IF(nd_ny&gt;=2,(nd_ny-1)*nd_sy,0.9*nd_dt))</f>
        <v>240</v>
      </c>
      <c r="D54" s="15" t="s">
        <v>63</v>
      </c>
      <c r="E54" s="16"/>
    </row>
    <row r="55" customFormat="false" ht="15" hidden="false" customHeight="true" outlineLevel="0" collapsed="false">
      <c r="A55" s="12" t="s">
        <v>991</v>
      </c>
      <c r="B55" s="13" t="s">
        <v>682</v>
      </c>
      <c r="C55" s="19" t="n">
        <f aca="false">nd_nx*nd_ny</f>
        <v>6</v>
      </c>
      <c r="D55" s="15" t="s">
        <v>74</v>
      </c>
      <c r="E55" s="16"/>
    </row>
    <row r="56" customFormat="false" ht="15" hidden="false" customHeight="true" outlineLevel="0" collapsed="false">
      <c r="A56" s="12" t="s">
        <v>992</v>
      </c>
      <c r="B56" s="13" t="s">
        <v>804</v>
      </c>
      <c r="C56" s="21" t="n">
        <f aca="false">MAX(0,nd_n/nd_nt+nd_mom*1000/(nd_z*nd_nx))</f>
        <v>4.5</v>
      </c>
      <c r="D56" s="15" t="s">
        <v>139</v>
      </c>
      <c r="E56" s="16" t="s">
        <v>993</v>
      </c>
    </row>
    <row r="57" customFormat="false" ht="15" hidden="false" customHeight="true" outlineLevel="0" collapsed="false">
      <c r="A57" s="12" t="s">
        <v>994</v>
      </c>
      <c r="B57" s="13" t="s">
        <v>149</v>
      </c>
      <c r="C57" s="21" t="n">
        <f aca="false">nd_v/nd_nt</f>
        <v>6</v>
      </c>
      <c r="D57" s="15" t="s">
        <v>139</v>
      </c>
      <c r="E57" s="16" t="s">
        <v>995</v>
      </c>
    </row>
    <row r="58" customFormat="false" ht="15" hidden="false" customHeight="true" outlineLevel="0" collapsed="false">
      <c r="A58" s="12" t="s">
        <v>996</v>
      </c>
      <c r="B58" s="13" t="s">
        <v>997</v>
      </c>
      <c r="C58" s="20" t="n">
        <f aca="false">nd_ned*nd_nx</f>
        <v>9</v>
      </c>
      <c r="D58" s="15" t="s">
        <v>139</v>
      </c>
      <c r="E58" s="16"/>
    </row>
    <row r="60" customFormat="false" ht="15" hidden="false" customHeight="false" outlineLevel="0" collapsed="false">
      <c r="A60" s="9" t="s">
        <v>806</v>
      </c>
      <c r="B60" s="10"/>
      <c r="C60" s="10"/>
      <c r="D60" s="10"/>
      <c r="E60" s="10"/>
    </row>
    <row r="61" customFormat="false" ht="15" hidden="false" customHeight="false" outlineLevel="0" collapsed="false">
      <c r="A61" s="11" t="s">
        <v>34</v>
      </c>
      <c r="B61" s="11" t="s">
        <v>35</v>
      </c>
      <c r="C61" s="11" t="s">
        <v>36</v>
      </c>
      <c r="D61" s="11" t="s">
        <v>37</v>
      </c>
      <c r="E61" s="11" t="s">
        <v>38</v>
      </c>
    </row>
    <row r="62" customFormat="false" ht="15" hidden="false" customHeight="true" outlineLevel="0" collapsed="false">
      <c r="A62" s="12" t="s">
        <v>807</v>
      </c>
      <c r="B62" s="13" t="s">
        <v>625</v>
      </c>
      <c r="C62" s="19" t="n">
        <f aca="false">INDEX(tb_bard,MATCH(nd_m,tb_bar,0))</f>
        <v>16</v>
      </c>
      <c r="D62" s="15" t="s">
        <v>63</v>
      </c>
      <c r="E62" s="16"/>
    </row>
    <row r="63" customFormat="false" ht="15" hidden="false" customHeight="true" outlineLevel="0" collapsed="false">
      <c r="A63" s="12" t="s">
        <v>808</v>
      </c>
      <c r="B63" s="13" t="s">
        <v>809</v>
      </c>
      <c r="C63" s="22" t="n">
        <f aca="false">INDEX(tb_baras,MATCH(nd_m,tb_bar,0))</f>
        <v>157</v>
      </c>
      <c r="D63" s="15" t="s">
        <v>291</v>
      </c>
      <c r="E63" s="16"/>
    </row>
    <row r="64" customFormat="false" ht="15" hidden="false" customHeight="true" outlineLevel="0" collapsed="false">
      <c r="A64" s="12" t="s">
        <v>810</v>
      </c>
      <c r="B64" s="13" t="s">
        <v>811</v>
      </c>
      <c r="C64" s="19" t="n">
        <f aca="false">INDEX(tb_bclfu,MATCH(nd_cl,tb_bcl,0))</f>
        <v>800</v>
      </c>
      <c r="D64" s="15" t="s">
        <v>185</v>
      </c>
      <c r="E64" s="16"/>
    </row>
    <row r="65" customFormat="false" ht="15" hidden="false" customHeight="true" outlineLevel="0" collapsed="false">
      <c r="A65" s="12" t="s">
        <v>812</v>
      </c>
      <c r="B65" s="13" t="s">
        <v>184</v>
      </c>
      <c r="C65" s="19" t="n">
        <f aca="false">INDEX(tb_bclfy,MATCH(nd_cl,tb_bcl,0))</f>
        <v>640</v>
      </c>
      <c r="D65" s="15" t="s">
        <v>185</v>
      </c>
      <c r="E65" s="16"/>
    </row>
    <row r="66" customFormat="false" ht="15" hidden="false" customHeight="true" outlineLevel="0" collapsed="false">
      <c r="A66" s="12" t="s">
        <v>813</v>
      </c>
      <c r="B66" s="13"/>
      <c r="C66" s="25" t="n">
        <f aca="false">MAX(1.4,1.2*nd_fu/nd_fy)</f>
        <v>1.5</v>
      </c>
      <c r="D66" s="15" t="s">
        <v>74</v>
      </c>
      <c r="E66" s="16" t="s">
        <v>814</v>
      </c>
    </row>
    <row r="67" customFormat="false" ht="15" hidden="false" customHeight="true" outlineLevel="0" collapsed="false">
      <c r="A67" s="12" t="s">
        <v>815</v>
      </c>
      <c r="B67" s="13"/>
      <c r="C67" s="25" t="n">
        <f aca="false">IF(AND(nd_fu&lt;=800,nd_fy/nd_fu&lt;=0.8),MAX(1.25,nd_fu/nd_fy),1.5)</f>
        <v>1.25</v>
      </c>
      <c r="D67" s="15" t="s">
        <v>74</v>
      </c>
      <c r="E67" s="16" t="s">
        <v>816</v>
      </c>
    </row>
    <row r="68" customFormat="false" ht="15" hidden="false" customHeight="true" outlineLevel="0" collapsed="false">
      <c r="A68" s="12" t="s">
        <v>817</v>
      </c>
      <c r="B68" s="13" t="s">
        <v>818</v>
      </c>
      <c r="C68" s="21" t="n">
        <f aca="false">nd_as*nd_fu/nd_gmn/1000</f>
        <v>83.7333333333333</v>
      </c>
      <c r="D68" s="15" t="s">
        <v>139</v>
      </c>
      <c r="E68" s="16" t="s">
        <v>819</v>
      </c>
    </row>
    <row r="69" customFormat="false" ht="15" hidden="false" customHeight="true" outlineLevel="0" collapsed="false">
      <c r="A69" s="12" t="s">
        <v>820</v>
      </c>
      <c r="B69" s="13"/>
      <c r="C69" s="19" t="n">
        <f aca="false">IF(AND(nd_gap&gt;0,OR(nd_gap&gt;nd_d/2,nd_grok="NO")),1,0)</f>
        <v>0</v>
      </c>
      <c r="D69" s="15" t="s">
        <v>74</v>
      </c>
      <c r="E69" s="16" t="s">
        <v>821</v>
      </c>
    </row>
    <row r="70" customFormat="false" ht="15" hidden="false" customHeight="true" outlineLevel="0" collapsed="false">
      <c r="A70" s="12" t="s">
        <v>822</v>
      </c>
      <c r="B70" s="13" t="s">
        <v>823</v>
      </c>
      <c r="C70" s="20" t="n">
        <f aca="false">IF(nd_fu&lt;=500,0.6,0.5)*nd_as*nd_fu/1000</f>
        <v>62.8</v>
      </c>
      <c r="D70" s="15" t="s">
        <v>139</v>
      </c>
      <c r="E70" s="16" t="s">
        <v>824</v>
      </c>
    </row>
    <row r="71" customFormat="false" ht="15" hidden="false" customHeight="true" outlineLevel="0" collapsed="false">
      <c r="A71" s="12" t="s">
        <v>825</v>
      </c>
      <c r="B71" s="13" t="s">
        <v>826</v>
      </c>
      <c r="C71" s="20" t="n">
        <f aca="false">1.2*PI()*(SQRT(4*nd_as/PI()))^3/32*nd_fu*MAX(0,1-nd_ned/nd_nrs)/1000</f>
        <v>252.055007955858</v>
      </c>
      <c r="D71" s="15" t="s">
        <v>827</v>
      </c>
      <c r="E71" s="16" t="s">
        <v>828</v>
      </c>
    </row>
    <row r="72" customFormat="false" ht="15" hidden="false" customHeight="true" outlineLevel="0" collapsed="false">
      <c r="A72" s="12" t="s">
        <v>829</v>
      </c>
      <c r="B72" s="13" t="s">
        <v>830</v>
      </c>
      <c r="C72" s="20" t="n">
        <f aca="false">nd_am*nd_mrk/(0.5*nd_d+nd_gap)</f>
        <v>19.3888467658352</v>
      </c>
      <c r="D72" s="15" t="s">
        <v>139</v>
      </c>
      <c r="E72" s="16" t="s">
        <v>831</v>
      </c>
    </row>
    <row r="73" customFormat="false" ht="15" hidden="false" customHeight="true" outlineLevel="0" collapsed="false">
      <c r="A73" s="12" t="s">
        <v>832</v>
      </c>
      <c r="B73" s="13" t="s">
        <v>833</v>
      </c>
      <c r="C73" s="21" t="n">
        <f aca="false">IF(nd_lev=1,MIN(nd_vso,nd_vsm),nd_vso)/nd_gmv</f>
        <v>50.24</v>
      </c>
      <c r="D73" s="15" t="s">
        <v>139</v>
      </c>
      <c r="E73" s="16"/>
    </row>
    <row r="74" customFormat="false" ht="15" hidden="false" customHeight="true" outlineLevel="0" collapsed="false">
      <c r="A74" s="12" t="s">
        <v>998</v>
      </c>
      <c r="B74" s="13"/>
      <c r="C74" s="25" t="n">
        <f aca="false">MAX(0,MIN(2.5,2.8*nd_ep/nd_d0-1.7))</f>
        <v>2.5</v>
      </c>
      <c r="D74" s="15" t="s">
        <v>74</v>
      </c>
      <c r="E74" s="16"/>
    </row>
    <row r="75" customFormat="false" ht="15" hidden="false" customHeight="true" outlineLevel="0" collapsed="false">
      <c r="A75" s="12" t="s">
        <v>999</v>
      </c>
      <c r="B75" s="13"/>
      <c r="C75" s="25" t="n">
        <f aca="false">MAX(0,MIN(1,nd_fu/nd_pfu,nd_ep/(3*nd_d0)))</f>
        <v>0.833333333333333</v>
      </c>
      <c r="D75" s="15" t="s">
        <v>74</v>
      </c>
      <c r="E75" s="16" t="s">
        <v>1000</v>
      </c>
    </row>
    <row r="76" customFormat="false" ht="15" hidden="false" customHeight="true" outlineLevel="0" collapsed="false">
      <c r="A76" s="12" t="s">
        <v>1001</v>
      </c>
      <c r="B76" s="13" t="s">
        <v>841</v>
      </c>
      <c r="C76" s="21" t="n">
        <f aca="false">nd_kb*nd_ab*nd_pfu*nd_d*nd_tp/gam_mt/1000</f>
        <v>172</v>
      </c>
      <c r="D76" s="15" t="s">
        <v>139</v>
      </c>
      <c r="E76" s="16"/>
    </row>
    <row r="78" customFormat="false" ht="15" hidden="false" customHeight="false" outlineLevel="0" collapsed="false">
      <c r="A78" s="9" t="s">
        <v>1002</v>
      </c>
      <c r="B78" s="10"/>
      <c r="C78" s="10"/>
      <c r="D78" s="10"/>
      <c r="E78" s="10"/>
    </row>
    <row r="79" customFormat="false" ht="15" hidden="false" customHeight="false" outlineLevel="0" collapsed="false">
      <c r="A79" s="11" t="s">
        <v>34</v>
      </c>
      <c r="B79" s="11" t="s">
        <v>35</v>
      </c>
      <c r="C79" s="11" t="s">
        <v>36</v>
      </c>
      <c r="D79" s="11" t="s">
        <v>37</v>
      </c>
      <c r="E79" s="11" t="s">
        <v>38</v>
      </c>
    </row>
    <row r="80" customFormat="false" ht="15" hidden="false" customHeight="true" outlineLevel="0" collapsed="false">
      <c r="A80" s="12" t="s">
        <v>844</v>
      </c>
      <c r="B80" s="13" t="s">
        <v>835</v>
      </c>
      <c r="C80" s="22" t="n">
        <f aca="false">IF(nd_cr="FESSURATO",7.7,11)</f>
        <v>7.7</v>
      </c>
      <c r="D80" s="15" t="s">
        <v>74</v>
      </c>
      <c r="E80" s="16" t="s">
        <v>845</v>
      </c>
    </row>
    <row r="81" customFormat="false" ht="15" hidden="false" customHeight="true" outlineLevel="0" collapsed="false">
      <c r="A81" s="12" t="s">
        <v>846</v>
      </c>
      <c r="B81" s="13" t="s">
        <v>847</v>
      </c>
      <c r="C81" s="22" t="n">
        <f aca="false">IF(nd_cr="FESSURATO",1.7,2.4)</f>
        <v>1.7</v>
      </c>
      <c r="D81" s="15" t="s">
        <v>74</v>
      </c>
      <c r="E81" s="16" t="s">
        <v>848</v>
      </c>
    </row>
    <row r="82" customFormat="false" ht="15" hidden="false" customHeight="true" outlineLevel="0" collapsed="false">
      <c r="A82" s="12" t="s">
        <v>849</v>
      </c>
      <c r="B82" s="13"/>
      <c r="C82" s="20" t="n">
        <f aca="false">1.5*nd_gin</f>
        <v>1.8</v>
      </c>
      <c r="D82" s="15" t="s">
        <v>74</v>
      </c>
      <c r="E82" s="16" t="s">
        <v>850</v>
      </c>
    </row>
    <row r="83" customFormat="false" ht="15" hidden="false" customHeight="true" outlineLevel="0" collapsed="false">
      <c r="A83" s="12" t="s">
        <v>851</v>
      </c>
      <c r="B83" s="13"/>
      <c r="C83" s="25" t="n">
        <f aca="false">IF(nd_rfn="SI",MIN(1,0.5+nd_hef/200),1)</f>
        <v>1</v>
      </c>
      <c r="D83" s="15" t="s">
        <v>74</v>
      </c>
      <c r="E83" s="16"/>
    </row>
    <row r="84" customFormat="false" ht="15" hidden="false" customHeight="true" outlineLevel="0" collapsed="false">
      <c r="A84" s="12" t="s">
        <v>852</v>
      </c>
      <c r="B84" s="13" t="s">
        <v>853</v>
      </c>
      <c r="C84" s="20" t="n">
        <f aca="false">nd_k1*SQRT(fck_c)*nd_hef^1.5/1000</f>
        <v>63.6202064337005</v>
      </c>
      <c r="D84" s="15" t="s">
        <v>139</v>
      </c>
      <c r="E84" s="16" t="s">
        <v>854</v>
      </c>
    </row>
    <row r="85" customFormat="false" ht="15" hidden="false" customHeight="true" outlineLevel="0" collapsed="false">
      <c r="A85" s="12" t="s">
        <v>855</v>
      </c>
      <c r="B85" s="13" t="s">
        <v>856</v>
      </c>
      <c r="C85" s="19" t="n">
        <f aca="false">3*nd_hef</f>
        <v>480</v>
      </c>
      <c r="D85" s="15" t="s">
        <v>63</v>
      </c>
      <c r="E85" s="16" t="s">
        <v>857</v>
      </c>
    </row>
    <row r="86" customFormat="false" ht="15" hidden="false" customHeight="true" outlineLevel="0" collapsed="false">
      <c r="A86" s="12" t="s">
        <v>858</v>
      </c>
      <c r="B86" s="13" t="s">
        <v>859</v>
      </c>
      <c r="C86" s="20" t="n">
        <f aca="false">nd_psus*nd_tau*PI()*nd_d*nd_hef/1000</f>
        <v>56.2973403523291</v>
      </c>
      <c r="D86" s="15" t="s">
        <v>139</v>
      </c>
      <c r="E86" s="16" t="s">
        <v>860</v>
      </c>
    </row>
    <row r="87" customFormat="false" ht="15" hidden="false" customHeight="true" outlineLevel="0" collapsed="false">
      <c r="A87" s="12" t="s">
        <v>861</v>
      </c>
      <c r="B87" s="13" t="s">
        <v>862</v>
      </c>
      <c r="C87" s="19" t="n">
        <f aca="false">MIN(3*nd_hef,7.3*nd_d*SQRT(nd_psus*nd_tau))</f>
        <v>309.023753132344</v>
      </c>
      <c r="D87" s="15" t="s">
        <v>63</v>
      </c>
      <c r="E87" s="16" t="s">
        <v>863</v>
      </c>
    </row>
    <row r="88" customFormat="false" ht="15" hidden="false" customHeight="true" outlineLevel="0" collapsed="false">
      <c r="A88" s="12" t="s">
        <v>1003</v>
      </c>
      <c r="B88" s="13" t="s">
        <v>1004</v>
      </c>
      <c r="C88" s="25" t="n">
        <f aca="false">(2*MIN(nd_cx,1.5*nd_hef)+(nd_nx-1)*MIN(nd_sx,3*nd_hef))*(MIN(nd_ct,1.5*nd_hef)+1.5*nd_hef)/(9*nd_hef^2)</f>
        <v>0.729166666666667</v>
      </c>
      <c r="D88" s="15" t="s">
        <v>74</v>
      </c>
      <c r="E88" s="16" t="s">
        <v>1005</v>
      </c>
    </row>
    <row r="89" customFormat="false" ht="15" hidden="false" customHeight="true" outlineLevel="0" collapsed="false">
      <c r="A89" s="12" t="s">
        <v>867</v>
      </c>
      <c r="B89" s="13"/>
      <c r="C89" s="25" t="n">
        <f aca="false">MIN(1,0.7+0.3*MIN(nd_cx,nd_ct)/(1.5*nd_hef))</f>
        <v>0.825</v>
      </c>
      <c r="D89" s="15" t="s">
        <v>74</v>
      </c>
      <c r="E89" s="16"/>
    </row>
    <row r="90" customFormat="false" ht="15" hidden="false" customHeight="true" outlineLevel="0" collapsed="false">
      <c r="A90" s="12" t="s">
        <v>1006</v>
      </c>
      <c r="B90" s="13" t="s">
        <v>870</v>
      </c>
      <c r="C90" s="20" t="n">
        <f aca="false">nd_ncz*nd_acr*nd_psn*nd_prn</f>
        <v>38.271530432773</v>
      </c>
      <c r="D90" s="15" t="s">
        <v>139</v>
      </c>
      <c r="E90" s="16"/>
    </row>
    <row r="91" customFormat="false" ht="15" hidden="false" customHeight="true" outlineLevel="0" collapsed="false">
      <c r="A91" s="12" t="s">
        <v>1007</v>
      </c>
      <c r="B91" s="13" t="s">
        <v>872</v>
      </c>
      <c r="C91" s="21" t="n">
        <f aca="false">nd_nrkc/nd_gmc</f>
        <v>21.2619613515405</v>
      </c>
      <c r="D91" s="15" t="s">
        <v>139</v>
      </c>
      <c r="E91" s="16"/>
    </row>
    <row r="92" customFormat="false" ht="15" hidden="false" customHeight="true" outlineLevel="0" collapsed="false">
      <c r="A92" s="12" t="s">
        <v>1008</v>
      </c>
      <c r="B92" s="13" t="s">
        <v>1009</v>
      </c>
      <c r="C92" s="25" t="n">
        <f aca="false">(2*MIN(nd_cx,nd_scp/2)+(nd_nx-1)*MIN(nd_sx,nd_scp))*(MIN(nd_ct,nd_scp/2)+nd_scp/2)/nd_scp^2</f>
        <v>1.13259902014751</v>
      </c>
      <c r="D92" s="15" t="s">
        <v>74</v>
      </c>
      <c r="E92" s="16"/>
    </row>
    <row r="93" customFormat="false" ht="15" hidden="false" customHeight="true" outlineLevel="0" collapsed="false">
      <c r="A93" s="12" t="s">
        <v>875</v>
      </c>
      <c r="B93" s="13"/>
      <c r="C93" s="25" t="n">
        <f aca="false">MIN(1,0.7+0.3*MIN(nd_cx,nd_ct)/(nd_scp/2))</f>
        <v>0.894159832025288</v>
      </c>
      <c r="D93" s="15" t="s">
        <v>74</v>
      </c>
      <c r="E93" s="16"/>
    </row>
    <row r="94" customFormat="false" ht="15" hidden="false" customHeight="true" outlineLevel="0" collapsed="false">
      <c r="A94" s="12" t="s">
        <v>1010</v>
      </c>
      <c r="B94" s="13" t="s">
        <v>877</v>
      </c>
      <c r="C94" s="20" t="n">
        <f aca="false">nd_npz*nd_apr*nd_psp*nd_prn</f>
        <v>57.0136986523904</v>
      </c>
      <c r="D94" s="15" t="s">
        <v>139</v>
      </c>
      <c r="E94" s="16"/>
    </row>
    <row r="95" customFormat="false" ht="15" hidden="false" customHeight="true" outlineLevel="0" collapsed="false">
      <c r="A95" s="12" t="s">
        <v>1011</v>
      </c>
      <c r="B95" s="13" t="s">
        <v>880</v>
      </c>
      <c r="C95" s="21" t="n">
        <f aca="false">nd_nrkp/nd_gmc</f>
        <v>31.6742770291058</v>
      </c>
      <c r="D95" s="15" t="s">
        <v>139</v>
      </c>
      <c r="E95" s="16"/>
    </row>
    <row r="96" customFormat="false" ht="15" hidden="false" customHeight="true" outlineLevel="0" collapsed="false">
      <c r="A96" s="12" t="s">
        <v>1012</v>
      </c>
      <c r="B96" s="13"/>
      <c r="C96" s="25" t="n">
        <f aca="false">(2*MIN(nd_cx,1.5*nd_hef)+(nd_nx-1)*MIN(nd_sx,3*nd_hef))*(MIN(nd_ct,1.5*nd_hef)+(nd_ny-1)*MIN(nd_sy,3*nd_hef)+1.5*nd_hef)/(9*nd_hef^2)</f>
        <v>1.09375</v>
      </c>
      <c r="D96" s="15" t="s">
        <v>74</v>
      </c>
      <c r="E96" s="16"/>
    </row>
    <row r="97" customFormat="false" ht="15" hidden="false" customHeight="true" outlineLevel="0" collapsed="false">
      <c r="A97" s="12" t="s">
        <v>1013</v>
      </c>
      <c r="B97" s="13"/>
      <c r="C97" s="25" t="n">
        <f aca="false">(2*MIN(nd_cx,nd_scp/2)+(nd_nx-1)*MIN(nd_sx,nd_scp))*(MIN(nd_ct,nd_scp/2)+(nd_ny-1)*MIN(nd_sy,nd_scp)+nd_scp/2)/nd_scp^2</f>
        <v>2.0122199621629</v>
      </c>
      <c r="D97" s="15" t="s">
        <v>74</v>
      </c>
      <c r="E97" s="16"/>
    </row>
    <row r="98" customFormat="false" ht="15" hidden="false" customHeight="true" outlineLevel="0" collapsed="false">
      <c r="A98" s="12" t="s">
        <v>1014</v>
      </c>
      <c r="B98" s="13" t="s">
        <v>894</v>
      </c>
      <c r="C98" s="21" t="n">
        <f aca="false">nd_k8*MIN(nd_ncz*nd_aca*nd_psn,nd_npz*nd_apa*nd_psp)*nd_prn/1.5</f>
        <v>76.5430608655459</v>
      </c>
      <c r="D98" s="15" t="s">
        <v>139</v>
      </c>
      <c r="E98" s="16" t="s">
        <v>1015</v>
      </c>
    </row>
    <row r="99" customFormat="false" ht="15" hidden="false" customHeight="true" outlineLevel="0" collapsed="false">
      <c r="A99" s="12" t="s">
        <v>881</v>
      </c>
      <c r="B99" s="13" t="s">
        <v>882</v>
      </c>
      <c r="C99" s="19" t="n">
        <f aca="false">IF(nd_d&lt;=24,MIN(nd_hef,12*nd_d),MIN(nd_hef,MAX(8*nd_d,300)))</f>
        <v>160</v>
      </c>
      <c r="D99" s="15" t="s">
        <v>63</v>
      </c>
      <c r="E99" s="16"/>
    </row>
    <row r="100" customFormat="false" ht="15" hidden="false" customHeight="true" outlineLevel="0" collapsed="false">
      <c r="A100" s="12" t="s">
        <v>883</v>
      </c>
      <c r="B100" s="13" t="s">
        <v>884</v>
      </c>
      <c r="C100" s="20" t="n">
        <f aca="false">nd_k9*nd_d^(0.1*(nd_lf/nd_cx)^0.5)*nd_lf^(0.1*(nd_d/nd_cx)^0.2)*SQRT(fck_c)*nd_cx^1.5/1000</f>
        <v>14.0107442308931</v>
      </c>
      <c r="D100" s="15" t="s">
        <v>139</v>
      </c>
      <c r="E100" s="16" t="s">
        <v>1016</v>
      </c>
    </row>
    <row r="101" customFormat="false" ht="15" hidden="false" customHeight="true" outlineLevel="0" collapsed="false">
      <c r="A101" s="12" t="s">
        <v>1017</v>
      </c>
      <c r="B101" s="13"/>
      <c r="C101" s="25" t="n">
        <f aca="false">(3*nd_cx+(nd_ny-1)*MIN(nd_sy,3*nd_cx))*MIN(1.5*nd_cx,nd_cd)/(4.5*nd_cx^2)</f>
        <v>1.8</v>
      </c>
      <c r="D101" s="15" t="s">
        <v>74</v>
      </c>
      <c r="E101" s="16" t="s">
        <v>1018</v>
      </c>
    </row>
    <row r="102" customFormat="false" ht="15" hidden="false" customHeight="true" outlineLevel="0" collapsed="false">
      <c r="A102" s="12" t="s">
        <v>889</v>
      </c>
      <c r="B102" s="13"/>
      <c r="C102" s="25" t="n">
        <f aca="false">MAX(1,SQRT(1.5*nd_cx/nd_cd))</f>
        <v>1</v>
      </c>
      <c r="D102" s="15" t="s">
        <v>74</v>
      </c>
      <c r="E102" s="16"/>
    </row>
    <row r="103" customFormat="false" ht="15" hidden="false" customHeight="true" outlineLevel="0" collapsed="false">
      <c r="A103" s="12" t="s">
        <v>1019</v>
      </c>
      <c r="B103" s="13"/>
      <c r="C103" s="25" t="n">
        <f aca="false">MIN(1,0.7+0.3*nd_ct/(1.5*nd_cx))</f>
        <v>1</v>
      </c>
      <c r="D103" s="15" t="s">
        <v>74</v>
      </c>
      <c r="E103" s="16"/>
    </row>
    <row r="104" customFormat="false" ht="15" hidden="false" customHeight="true" outlineLevel="0" collapsed="false">
      <c r="A104" s="12" t="s">
        <v>1020</v>
      </c>
      <c r="B104" s="13" t="s">
        <v>891</v>
      </c>
      <c r="C104" s="21" t="n">
        <f aca="false">nd_vcz*nd_rcv*nd_phv*nd_psv*2*IF(nd_prv="STANDARD",1,1.4)/1.5</f>
        <v>33.6257861541435</v>
      </c>
      <c r="D104" s="15" t="s">
        <v>139</v>
      </c>
      <c r="E104" s="16" t="s">
        <v>1021</v>
      </c>
    </row>
    <row r="105" customFormat="false" ht="15" hidden="false" customHeight="true" outlineLevel="0" collapsed="false">
      <c r="A105" s="12" t="s">
        <v>1022</v>
      </c>
      <c r="B105" s="13"/>
      <c r="C105" s="20" t="n">
        <f aca="false">nd_v/nd_nx</f>
        <v>18</v>
      </c>
      <c r="D105" s="15" t="s">
        <v>139</v>
      </c>
      <c r="E105" s="16"/>
    </row>
    <row r="107" customFormat="false" ht="15" hidden="false" customHeight="false" outlineLevel="0" collapsed="false">
      <c r="A107" s="9" t="s">
        <v>1023</v>
      </c>
      <c r="B107" s="10"/>
      <c r="C107" s="10"/>
      <c r="D107" s="10"/>
      <c r="E107" s="10"/>
    </row>
    <row r="108" customFormat="false" ht="15" hidden="false" customHeight="false" outlineLevel="0" collapsed="false">
      <c r="A108" s="11" t="s">
        <v>34</v>
      </c>
      <c r="B108" s="11" t="s">
        <v>35</v>
      </c>
      <c r="C108" s="11" t="s">
        <v>36</v>
      </c>
      <c r="D108" s="11" t="s">
        <v>37</v>
      </c>
      <c r="E108" s="11" t="s">
        <v>38</v>
      </c>
    </row>
    <row r="109" customFormat="false" ht="15" hidden="false" customHeight="true" outlineLevel="0" collapsed="false">
      <c r="A109" s="12" t="s">
        <v>1024</v>
      </c>
      <c r="B109" s="13"/>
      <c r="C109" s="37" t="n">
        <f aca="false">nd_ned/nd_nrs</f>
        <v>0.0537420382165605</v>
      </c>
      <c r="D109" s="15" t="s">
        <v>74</v>
      </c>
      <c r="E109" s="16"/>
    </row>
    <row r="110" customFormat="false" ht="15" hidden="false" customHeight="true" outlineLevel="0" collapsed="false">
      <c r="A110" s="12" t="s">
        <v>1025</v>
      </c>
      <c r="B110" s="13"/>
      <c r="C110" s="37" t="n">
        <f aca="false">nd_nrow/nd_nrc</f>
        <v>0.423291146625469</v>
      </c>
      <c r="D110" s="15" t="s">
        <v>74</v>
      </c>
      <c r="E110" s="16"/>
    </row>
    <row r="111" customFormat="false" ht="15" hidden="false" customHeight="true" outlineLevel="0" collapsed="false">
      <c r="A111" s="12" t="s">
        <v>1026</v>
      </c>
      <c r="B111" s="13"/>
      <c r="C111" s="37" t="n">
        <f aca="false">nd_nrow/nd_nrp</f>
        <v>0.284142239197119</v>
      </c>
      <c r="D111" s="15" t="s">
        <v>74</v>
      </c>
      <c r="E111" s="16"/>
    </row>
    <row r="112" customFormat="false" ht="15" hidden="false" customHeight="true" outlineLevel="0" collapsed="false">
      <c r="A112" s="12" t="s">
        <v>1027</v>
      </c>
      <c r="B112" s="13"/>
      <c r="C112" s="37" t="n">
        <f aca="false">nd_ved/nd_vrs</f>
        <v>0.119426751592357</v>
      </c>
      <c r="D112" s="15" t="s">
        <v>74</v>
      </c>
      <c r="E112" s="16"/>
    </row>
    <row r="113" customFormat="false" ht="15" hidden="false" customHeight="true" outlineLevel="0" collapsed="false">
      <c r="A113" s="12" t="s">
        <v>1028</v>
      </c>
      <c r="B113" s="13"/>
      <c r="C113" s="37" t="n">
        <f aca="false">nd_ved/nd_fb</f>
        <v>0.0348837209302326</v>
      </c>
      <c r="D113" s="15" t="s">
        <v>74</v>
      </c>
      <c r="E113" s="16"/>
    </row>
    <row r="114" customFormat="false" ht="15" hidden="false" customHeight="true" outlineLevel="0" collapsed="false">
      <c r="A114" s="12" t="s">
        <v>1029</v>
      </c>
      <c r="B114" s="13"/>
      <c r="C114" s="37" t="n">
        <f aca="false">nd_vline/nd_vrc</f>
        <v>0.535303469708826</v>
      </c>
      <c r="D114" s="15" t="s">
        <v>74</v>
      </c>
      <c r="E114" s="16"/>
    </row>
    <row r="115" customFormat="false" ht="15" hidden="false" customHeight="true" outlineLevel="0" collapsed="false">
      <c r="A115" s="12" t="s">
        <v>1030</v>
      </c>
      <c r="B115" s="13"/>
      <c r="C115" s="37" t="n">
        <f aca="false">nd_v/nd_vrcp</f>
        <v>0.470323496250521</v>
      </c>
      <c r="D115" s="15" t="s">
        <v>74</v>
      </c>
      <c r="E115" s="16"/>
    </row>
    <row r="116" customFormat="false" ht="15" hidden="false" customHeight="true" outlineLevel="0" collapsed="false">
      <c r="A116" s="12" t="s">
        <v>1031</v>
      </c>
      <c r="B116" s="13"/>
      <c r="C116" s="37" t="n">
        <f aca="false">nd_r1^2+nd_r4^2</f>
        <v>0.0171509556675727</v>
      </c>
      <c r="D116" s="15" t="s">
        <v>74</v>
      </c>
      <c r="E116" s="16" t="s">
        <v>1032</v>
      </c>
    </row>
    <row r="117" customFormat="false" ht="15" hidden="false" customHeight="true" outlineLevel="0" collapsed="false">
      <c r="A117" s="12" t="s">
        <v>1033</v>
      </c>
      <c r="B117" s="13"/>
      <c r="C117" s="37" t="n">
        <f aca="false">MAX(nd_r2,nd_r3)^1.5+MAX(nd_r6,nd_r7)^1.5</f>
        <v>0.667048493520899</v>
      </c>
      <c r="D117" s="15" t="s">
        <v>74</v>
      </c>
      <c r="E117" s="16" t="s">
        <v>1034</v>
      </c>
    </row>
    <row r="118" customFormat="false" ht="15" hidden="false" customHeight="true" outlineLevel="0" collapsed="false">
      <c r="A118" s="12" t="s">
        <v>1035</v>
      </c>
      <c r="B118" s="13"/>
      <c r="C118" s="37" t="n">
        <f aca="false">MAX(nd_r1,nd_r2,nd_r3,nd_r4,nd_r5,nd_r6,nd_r7,nd_r8,nd_r9)</f>
        <v>0.667048493520899</v>
      </c>
      <c r="D118" s="15" t="s">
        <v>74</v>
      </c>
      <c r="E118" s="16"/>
    </row>
    <row r="119" customFormat="false" ht="15" hidden="false" customHeight="true" outlineLevel="0" collapsed="false">
      <c r="A119" s="12" t="s">
        <v>1036</v>
      </c>
      <c r="B119" s="13"/>
      <c r="C119" s="33" t="str">
        <f aca="false">IF(NOT(sc_n=2),"N.A.",IF(nd_rmax&lt;=1,"VERIFICATA","NON VERIFICATA"))</f>
        <v>VERIFICATA</v>
      </c>
      <c r="D119" s="15"/>
      <c r="E119" s="16"/>
    </row>
    <row r="121" customFormat="false" ht="15" hidden="false" customHeight="false" outlineLevel="0" collapsed="false">
      <c r="A121" s="9" t="s">
        <v>919</v>
      </c>
      <c r="B121" s="10"/>
      <c r="C121" s="10"/>
      <c r="D121" s="10"/>
      <c r="E121" s="10"/>
    </row>
    <row r="122" customFormat="false" ht="15" hidden="false" customHeight="false" outlineLevel="0" collapsed="false">
      <c r="A122" s="11" t="s">
        <v>34</v>
      </c>
      <c r="B122" s="11" t="s">
        <v>35</v>
      </c>
      <c r="C122" s="11" t="s">
        <v>36</v>
      </c>
      <c r="D122" s="11" t="s">
        <v>37</v>
      </c>
      <c r="E122" s="11" t="s">
        <v>38</v>
      </c>
    </row>
    <row r="123" customFormat="false" ht="15" hidden="false" customHeight="true" outlineLevel="0" collapsed="false">
      <c r="A123" s="12" t="s">
        <v>1037</v>
      </c>
      <c r="B123" s="13"/>
      <c r="C123" s="33" t="str">
        <f aca="false">IF(sc_n&lt;&gt;2,"N.A.",IF(nd_cx&gt;=nd_cmin,"OK","NON VERIFICATA"))</f>
        <v>OK</v>
      </c>
      <c r="D123" s="15"/>
      <c r="E123" s="16"/>
    </row>
    <row r="124" customFormat="false" ht="15" hidden="false" customHeight="true" outlineLevel="0" collapsed="false">
      <c r="A124" s="12" t="s">
        <v>1038</v>
      </c>
      <c r="B124" s="13"/>
      <c r="C124" s="33" t="str">
        <f aca="false">IF(sc_n&lt;&gt;2,"N.A.",IF(AND(OR(nd_nx=1,nd_sx&gt;=nd_smin),OR(nd_ny=1,nd_sy&gt;=nd_smin)),"OK","NON VERIFICATA"))</f>
        <v>OK</v>
      </c>
      <c r="D124" s="15"/>
      <c r="E124" s="16"/>
    </row>
    <row r="125" customFormat="false" ht="15" hidden="false" customHeight="true" outlineLevel="0" collapsed="false">
      <c r="A125" s="12" t="s">
        <v>1039</v>
      </c>
      <c r="B125" s="13"/>
      <c r="C125" s="33" t="str">
        <f aca="false">IF(sc_n&lt;&gt;2,"N.A.",IF(nd_bp&lt;=nd_cb,"OK","NON VERIFICATA"))</f>
        <v>OK</v>
      </c>
      <c r="D125" s="15"/>
      <c r="E125" s="16"/>
    </row>
    <row r="126" customFormat="false" ht="15" hidden="false" customHeight="true" outlineLevel="0" collapsed="false">
      <c r="A126" s="12" t="s">
        <v>1040</v>
      </c>
      <c r="B126" s="13"/>
      <c r="C126" s="33" t="str">
        <f aca="false">IF(sc_n&lt;&gt;2,"N.A.",IF(AND((nd_nx-1)*nd_sx+2*nd_ep&lt;=nd_bp,(nd_ny-1)*nd_sy+2*nd_ep&lt;=nd_hp,nd_ep&gt;=1.2*nd_d0),"OK","NON VERIFICATA"))</f>
        <v>OK</v>
      </c>
      <c r="D126" s="15"/>
      <c r="E126" s="16"/>
    </row>
    <row r="127" customFormat="false" ht="15" hidden="false" customHeight="true" outlineLevel="0" collapsed="false">
      <c r="A127" s="12" t="s">
        <v>1041</v>
      </c>
      <c r="B127" s="13"/>
      <c r="C127" s="33" t="str">
        <f aca="false">IF(sc_n&lt;&gt;2,"N.A.",IF(nd_cd-nd_hef&gt;=MAX(30,2*(nd_d+4)),"OK","NON VERIFICATA"))</f>
        <v>OK</v>
      </c>
      <c r="D127" s="15"/>
      <c r="E127" s="16" t="s">
        <v>1042</v>
      </c>
    </row>
    <row r="128" customFormat="false" ht="30" hidden="false" customHeight="true" outlineLevel="0" collapsed="false">
      <c r="A128" s="34" t="s">
        <v>1043</v>
      </c>
      <c r="B128" s="34"/>
      <c r="C128" s="34"/>
      <c r="D128" s="34"/>
      <c r="E128" s="34"/>
    </row>
  </sheetData>
  <mergeCells count="4">
    <mergeCell ref="A1:E1"/>
    <mergeCell ref="A2:E2"/>
    <mergeCell ref="A3:E3"/>
    <mergeCell ref="A128:E128"/>
  </mergeCells>
  <conditionalFormatting sqref="C8:C160">
    <cfRule type="expression" priority="2" aboveAverage="0" equalAverage="0" bottom="0" percent="0" rank="0" text="" dxfId="0">
      <formula>ISNUMBER(SEARCH("NON",C8))</formula>
    </cfRule>
    <cfRule type="expression" priority="3" aboveAverage="0" equalAverage="0" bottom="0" percent="0" rank="0" text="" dxfId="1">
      <formula>ISNUMBER(SEARCH("N.A.",C8))</formula>
    </cfRule>
    <cfRule type="expression" priority="4" aboveAverage="0" equalAverage="0" bottom="0" percent="0" rank="0" text="" dxfId="2">
      <formula>OR(ISNUMBER(SEARCH("VERIFICATA",C8)),C8="OK")</formula>
    </cfRule>
    <cfRule type="expression" priority="5" aboveAverage="0" equalAverage="0" bottom="0" percent="0" rank="0" text="" dxfId="3">
      <formula>ISNUMBER(SEARCH("ATTENZIONE",C8))</formula>
    </cfRule>
  </conditionalFormatting>
  <dataValidations count="9">
    <dataValidation allowBlank="false" error="Scegliere un valore dall'elenco." errorStyle="stop" errorTitle="Valore non ammesso" operator="between" prompt="Grado acciaio piastra." promptTitle="Acciaio piastra" showDropDown="false" showErrorMessage="true" showInputMessage="true" sqref="C22" type="list">
      <formula1>"S235,S275,S355,S420,S460"</formula1>
      <formula2>0</formula2>
    </dataValidation>
    <dataValidation allowBlank="false" error="Scegliere un valore dall'elenco." errorStyle="stop" errorTitle="Valore non ammesso" operator="between" prompt="Malta con fc &gt;= 30 MPa?" promptTitle="Malta" showDropDown="false" showErrorMessage="true" showInputMessage="true" sqref="C26" type="list">
      <formula1>"SI,NO"</formula1>
      <formula2>0</formula2>
    </dataValidation>
    <dataValidation allowBlank="false" error="Scegliere un valore dall'elenco." errorStyle="stop" errorTitle="Valore non ammesso" operator="between" prompt="Diametro barra filettata." promptTitle="Barra" showDropDown="false" showErrorMessage="true" showInputMessage="true" sqref="C30" type="list">
      <formula1>"M10,M12,M16,M20,M24,M27,M30"</formula1>
      <formula2>0</formula2>
    </dataValidation>
    <dataValidation allowBlank="false" error="Scegliere un valore dall'elenco." errorStyle="stop" errorTitle="Valore non ammesso" operator="between" prompt="Classe di resistenza della barra." promptTitle="Classe" showDropDown="false" showErrorMessage="true" showInputMessage="true" sqref="C31" type="list">
      <formula1>"4.6,5.8,8.8,10.9,A4-70,A4-80"</formula1>
      <formula2>0</formula2>
    </dataValidation>
    <dataValidation allowBlank="false" error="Scegliere un valore dall'elenco." errorStyle="stop" errorTitle="Valore non ammesso" operator="between" prompt="Stato del calcestruzzo nella zona di ancoraggio." promptTitle="Cls" showDropDown="false" showErrorMessage="true" showInputMessage="true" sqref="C37" type="list">
      <formula1>"FESSURATO,NON FESSURATO"</formula1>
      <formula2>0</formula2>
    </dataValidation>
    <dataValidation allowBlank="false" error="Scegliere un valore dall'elenco." errorStyle="stop" errorTitle="Valore non ammesso" operator="between" prompt="STANDARD = 1,0. ARMATURA DI BORDO = 1,4 (barra di bordo &gt;= 12 mm e staffe a passo &lt;= 100 mm)." promptTitle="psi re,V" showDropDown="false" showErrorMessage="true" showInputMessage="true" sqref="C38" type="list">
      <formula1>"STANDARD,ARMATURA DI BORDO"</formula1>
      <formula2>0</formula2>
    </dataValidation>
    <dataValidation allowBlank="false" error="Scegliere un valore dall'elenco." errorStyle="stop" errorTitle="Valore non ammesso" operator="between" prompt="Armatura con passo &lt; 150 mm (o &lt; 100 per phi&lt;=10) nella zona di ancoraggio?" promptTitle="Armatura fitta" showDropDown="false" showErrorMessage="true" showInputMessage="true" sqref="C39" type="list">
      <formula1>"SI,NO"</formula1>
      <formula2>0</formula2>
    </dataValidation>
    <dataValidation allowBlank="false" error="Scegliere un valore dall'elenco." errorStyle="stop" errorTitle="Valore non ammesso" operator="between" prompt="Numero di ancoranti in orizzontale." promptTitle="Colonne" showDropDown="false" showErrorMessage="true" showInputMessage="true" sqref="C44" type="list">
      <formula1>"1,2,3,4"</formula1>
      <formula2>0</formula2>
    </dataValidation>
    <dataValidation allowBlank="false" error="Scegliere un valore dall'elenco." errorStyle="stop" errorTitle="Valore non ammesso" operator="between" prompt="Numero di file orizzontali." promptTitle="File" showDropDown="false" showErrorMessage="true" showInputMessage="true" sqref="C45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6" t="s">
        <v>1044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38" t="str">
        <f aca="false">"Scenario: "&amp;sc_txt&amp;"   |   L = "&amp;TEXT(lu_m,"0.00")&amp;" m   |   profilo "&amp;a_nome&amp;" "&amp;st_gr</f>
        <v>Scenario: 2 - RINFORZO: trave acciaio sotto trave c.a. esistente + inghisaggi   |   L = 6.00 m   |   profilo HEB 200 S275</v>
      </c>
      <c r="B2" s="38"/>
      <c r="C2" s="38"/>
      <c r="D2" s="38"/>
      <c r="E2" s="38"/>
      <c r="F2" s="38"/>
    </row>
    <row r="3" customFormat="false" ht="15" hidden="false" customHeight="false" outlineLevel="0" collapsed="false">
      <c r="A3" s="39" t="str">
        <f aca="false">"MEd = "&amp;TEXT(m_ed,"0.0")&amp;" kNm   VEd = "&amp;TEXT(v_ed,"0.0")&amp;" kN   Mpl,Rd = "&amp;TEXT(cs_mpl,"0.0")&amp;" kNm   Mpl,a,Rd = "&amp;TEXT(a_mpl,"0.0")&amp;" kNm   Jid(n0)/Ia = "&amp;TEXT(els_ratio,"0.00")</f>
        <v>MEd = 202.0 kNm   VEd = 134.6 kN   Mpl,Rd = 850.5 kNm   Mpl,a,Rd = 167.9 kNm   Jid(n0)/Ia = 29.59</v>
      </c>
      <c r="B3" s="39"/>
      <c r="C3" s="39"/>
      <c r="D3" s="39"/>
      <c r="E3" s="39"/>
      <c r="F3" s="39"/>
    </row>
    <row r="5" customFormat="false" ht="15" hidden="false" customHeight="false" outlineLevel="0" collapsed="false">
      <c r="A5" s="40" t="s">
        <v>1045</v>
      </c>
      <c r="B5" s="40" t="s">
        <v>1046</v>
      </c>
      <c r="C5" s="40" t="s">
        <v>1047</v>
      </c>
      <c r="D5" s="40" t="s">
        <v>1048</v>
      </c>
      <c r="E5" s="40" t="s">
        <v>1049</v>
      </c>
      <c r="F5" s="40" t="s">
        <v>1050</v>
      </c>
    </row>
    <row r="6" customFormat="false" ht="15" hidden="false" customHeight="false" outlineLevel="0" collapsed="false">
      <c r="A6" s="41" t="s">
        <v>1051</v>
      </c>
      <c r="B6" s="10"/>
      <c r="C6" s="10"/>
      <c r="D6" s="10"/>
      <c r="E6" s="10"/>
      <c r="F6" s="10"/>
    </row>
    <row r="7" customFormat="false" ht="15" hidden="false" customHeight="false" outlineLevel="0" collapsed="false">
      <c r="A7" s="42" t="s">
        <v>1052</v>
      </c>
      <c r="B7" s="42" t="s">
        <v>1053</v>
      </c>
      <c r="C7" s="43" t="n">
        <f aca="false">m_ed</f>
        <v>201.968185734824</v>
      </c>
      <c r="D7" s="43" t="n">
        <f aca="false">vt_mrd</f>
        <v>167.92349160662</v>
      </c>
      <c r="E7" s="44" t="n">
        <f aca="false">vt_rm</f>
        <v>1.20273931778382</v>
      </c>
      <c r="F7" s="45" t="str">
        <f aca="false">vt_em</f>
        <v>N.A.</v>
      </c>
    </row>
    <row r="8" customFormat="false" ht="15" hidden="false" customHeight="false" outlineLevel="0" collapsed="false">
      <c r="A8" s="42" t="s">
        <v>1054</v>
      </c>
      <c r="B8" s="42" t="s">
        <v>1055</v>
      </c>
      <c r="C8" s="43" t="n">
        <f aca="false">st_eta</f>
        <v>0.590723490584002</v>
      </c>
      <c r="D8" s="43" t="n">
        <f aca="false">vt_emin</f>
        <v>0.4</v>
      </c>
      <c r="E8" s="44"/>
      <c r="F8" s="45" t="str">
        <f aca="false">vt_etaok</f>
        <v>N.A.</v>
      </c>
    </row>
    <row r="9" customFormat="false" ht="15" hidden="false" customHeight="false" outlineLevel="0" collapsed="false">
      <c r="A9" s="42" t="s">
        <v>1056</v>
      </c>
      <c r="B9" s="42" t="s">
        <v>1057</v>
      </c>
      <c r="C9" s="43"/>
      <c r="D9" s="43"/>
      <c r="E9" s="44"/>
      <c r="F9" s="45" t="str">
        <f aca="false">cs_wcl</f>
        <v>OK</v>
      </c>
    </row>
    <row r="10" customFormat="false" ht="15" hidden="false" customHeight="false" outlineLevel="0" collapsed="false">
      <c r="A10" s="42" t="s">
        <v>1058</v>
      </c>
      <c r="B10" s="42" t="s">
        <v>1059</v>
      </c>
      <c r="C10" s="43" t="n">
        <f aca="false">v_ed</f>
        <v>134.64545715655</v>
      </c>
      <c r="D10" s="43" t="n">
        <f aca="false">a_vpl</f>
        <v>375.475125776927</v>
      </c>
      <c r="E10" s="44" t="n">
        <f aca="false">vt_rv</f>
        <v>0.358600205214509</v>
      </c>
      <c r="F10" s="45" t="str">
        <f aca="false">vt_ev</f>
        <v>VERIFICATA</v>
      </c>
    </row>
    <row r="11" customFormat="false" ht="15" hidden="false" customHeight="false" outlineLevel="0" collapsed="false">
      <c r="A11" s="42" t="s">
        <v>1060</v>
      </c>
      <c r="B11" s="42" t="s">
        <v>1061</v>
      </c>
      <c r="C11" s="43" t="n">
        <f aca="false">vt_sa</f>
        <v>15.0197750498625</v>
      </c>
      <c r="D11" s="43" t="n">
        <f aca="false">fyd_a</f>
        <v>261.904761904762</v>
      </c>
      <c r="E11" s="44" t="n">
        <f aca="false">vt_rsa</f>
        <v>0.0573482320085661</v>
      </c>
      <c r="F11" s="45" t="str">
        <f aca="false">vt_esa</f>
        <v>VERIFICATA</v>
      </c>
    </row>
    <row r="12" customFormat="false" ht="15" hidden="false" customHeight="false" outlineLevel="0" collapsed="false">
      <c r="A12" s="42" t="s">
        <v>1062</v>
      </c>
      <c r="B12" s="42" t="s">
        <v>1061</v>
      </c>
      <c r="C12" s="43" t="n">
        <f aca="false">vt_sc</f>
        <v>1.00737242703975</v>
      </c>
      <c r="D12" s="43" t="n">
        <f aca="false">fcd_c</f>
        <v>9.44444444444445</v>
      </c>
      <c r="E12" s="44" t="n">
        <f aca="false">vt_rsc</f>
        <v>0.106662962863032</v>
      </c>
      <c r="F12" s="45" t="str">
        <f aca="false">vt_esc</f>
        <v>VERIFICATA</v>
      </c>
    </row>
    <row r="13" customFormat="false" ht="15" hidden="false" customHeight="false" outlineLevel="0" collapsed="false">
      <c r="A13" s="42" t="s">
        <v>1063</v>
      </c>
      <c r="B13" s="42" t="s">
        <v>1064</v>
      </c>
      <c r="C13" s="43" t="n">
        <f aca="false">vt_ftot</f>
        <v>0.382801042126307</v>
      </c>
      <c r="D13" s="43" t="n">
        <f aca="false">lu_mm/lim_tot</f>
        <v>24</v>
      </c>
      <c r="E13" s="44" t="n">
        <f aca="false">vt_rft</f>
        <v>0.0159500434219295</v>
      </c>
      <c r="F13" s="45" t="str">
        <f aca="false">vt_eft</f>
        <v>VERIFICATA</v>
      </c>
    </row>
    <row r="14" customFormat="false" ht="15" hidden="false" customHeight="false" outlineLevel="0" collapsed="false">
      <c r="A14" s="42" t="s">
        <v>1065</v>
      </c>
      <c r="B14" s="42" t="s">
        <v>1064</v>
      </c>
      <c r="C14" s="43" t="n">
        <f aca="false">vt_fq</f>
        <v>0.382801042126307</v>
      </c>
      <c r="D14" s="43" t="n">
        <f aca="false">lu_mm/lim_q</f>
        <v>20</v>
      </c>
      <c r="E14" s="44" t="n">
        <f aca="false">vt_rfq</f>
        <v>0.0191400521063154</v>
      </c>
      <c r="F14" s="45" t="str">
        <f aca="false">vt_efq</f>
        <v>VERIFICATA</v>
      </c>
    </row>
    <row r="15" customFormat="false" ht="15" hidden="false" customHeight="false" outlineLevel="0" collapsed="false">
      <c r="A15" s="41" t="s">
        <v>1066</v>
      </c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42" t="s">
        <v>1067</v>
      </c>
      <c r="B16" s="42" t="s">
        <v>1068</v>
      </c>
      <c r="C16" s="43" t="n">
        <f aca="false">m_cost</f>
        <v>0</v>
      </c>
      <c r="D16" s="43" t="n">
        <f aca="false">a_mpl</f>
        <v>167.92349160662</v>
      </c>
      <c r="E16" s="44" t="n">
        <f aca="false">vt_rmc</f>
        <v>0</v>
      </c>
      <c r="F16" s="45" t="str">
        <f aca="false">vt_emc</f>
        <v>N.A.</v>
      </c>
    </row>
    <row r="17" customFormat="false" ht="15" hidden="false" customHeight="false" outlineLevel="0" collapsed="false">
      <c r="A17" s="42" t="s">
        <v>1069</v>
      </c>
      <c r="B17" s="42" t="s">
        <v>1070</v>
      </c>
      <c r="C17" s="43" t="n">
        <f aca="false">v_cost</f>
        <v>0</v>
      </c>
      <c r="D17" s="43" t="n">
        <f aca="false">a_vpl</f>
        <v>375.475125776927</v>
      </c>
      <c r="E17" s="44" t="n">
        <f aca="false">vt_rvc</f>
        <v>0</v>
      </c>
      <c r="F17" s="45" t="str">
        <f aca="false">vt_evc</f>
        <v>N.A.</v>
      </c>
    </row>
    <row r="18" customFormat="false" ht="15" hidden="false" customHeight="false" outlineLevel="0" collapsed="false">
      <c r="A18" s="42" t="s">
        <v>1071</v>
      </c>
      <c r="B18" s="42" t="s">
        <v>1072</v>
      </c>
      <c r="C18" s="43"/>
      <c r="D18" s="43"/>
      <c r="E18" s="44"/>
      <c r="F18" s="45" t="str">
        <f aca="false">vt_ltb</f>
        <v>N.A.</v>
      </c>
    </row>
    <row r="19" customFormat="false" ht="15" hidden="false" customHeight="false" outlineLevel="0" collapsed="false">
      <c r="A19" s="41" t="s">
        <v>1073</v>
      </c>
      <c r="B19" s="10"/>
      <c r="C19" s="10"/>
      <c r="D19" s="10"/>
      <c r="E19" s="10"/>
      <c r="F19" s="10"/>
    </row>
    <row r="20" customFormat="false" ht="15" hidden="false" customHeight="false" outlineLevel="0" collapsed="false">
      <c r="A20" s="42" t="s">
        <v>1074</v>
      </c>
      <c r="B20" s="42" t="s">
        <v>1075</v>
      </c>
      <c r="C20" s="43" t="n">
        <f aca="false">st_nf</f>
        <v>33.8567880214609</v>
      </c>
      <c r="D20" s="43" t="n">
        <f aca="false">st_np</f>
        <v>20</v>
      </c>
      <c r="E20" s="44"/>
      <c r="F20" s="45" t="str">
        <f aca="false">vt_etaok</f>
        <v>N.A.</v>
      </c>
    </row>
    <row r="21" customFormat="false" ht="15" hidden="false" customHeight="false" outlineLevel="0" collapsed="false">
      <c r="A21" s="42" t="s">
        <v>1076</v>
      </c>
      <c r="B21" s="42" t="s">
        <v>1077</v>
      </c>
      <c r="C21" s="43" t="n">
        <f aca="false">tr_req</f>
        <v>499.015491891486</v>
      </c>
      <c r="D21" s="43" t="n">
        <f aca="false">sl_ast</f>
        <v>565</v>
      </c>
      <c r="E21" s="44" t="n">
        <f aca="false">tr_r</f>
        <v>0.883213259984931</v>
      </c>
      <c r="F21" s="45" t="str">
        <f aca="false">tr_e</f>
        <v>N.A.</v>
      </c>
    </row>
    <row r="22" customFormat="false" ht="15" hidden="false" customHeight="false" outlineLevel="0" collapsed="false">
      <c r="A22" s="42" t="s">
        <v>1078</v>
      </c>
      <c r="B22" s="42" t="s">
        <v>1079</v>
      </c>
      <c r="C22" s="43" t="n">
        <f aca="false">tr_v</f>
        <v>3.00410664014941</v>
      </c>
      <c r="D22" s="43" t="n">
        <f aca="false">tr_vmax</f>
        <v>2.55</v>
      </c>
      <c r="E22" s="44" t="n">
        <f aca="false">tr_rb</f>
        <v>1.17808103535271</v>
      </c>
      <c r="F22" s="45" t="str">
        <f aca="false">tr_eb</f>
        <v>N.A.</v>
      </c>
    </row>
    <row r="23" customFormat="false" ht="15" hidden="false" customHeight="false" outlineLevel="0" collapsed="false">
      <c r="A23" s="42" t="s">
        <v>1080</v>
      </c>
      <c r="B23" s="42" t="s">
        <v>1081</v>
      </c>
      <c r="C23" s="43"/>
      <c r="D23" s="43"/>
      <c r="E23" s="44"/>
      <c r="F23" s="45" t="str">
        <f aca="false">st_c1</f>
        <v>N.A.</v>
      </c>
    </row>
    <row r="24" customFormat="false" ht="15" hidden="false" customHeight="false" outlineLevel="0" collapsed="false">
      <c r="A24" s="42" t="s">
        <v>1082</v>
      </c>
      <c r="B24" s="42" t="s">
        <v>1083</v>
      </c>
      <c r="C24" s="43"/>
      <c r="D24" s="43"/>
      <c r="E24" s="44"/>
      <c r="F24" s="45" t="str">
        <f aca="false">st_c2</f>
        <v>N.A.</v>
      </c>
    </row>
    <row r="25" customFormat="false" ht="15" hidden="false" customHeight="false" outlineLevel="0" collapsed="false">
      <c r="A25" s="42" t="s">
        <v>1084</v>
      </c>
      <c r="B25" s="42" t="s">
        <v>1083</v>
      </c>
      <c r="C25" s="43"/>
      <c r="D25" s="43"/>
      <c r="E25" s="44"/>
      <c r="F25" s="45" t="str">
        <f aca="false">st_c3</f>
        <v>N.A.</v>
      </c>
    </row>
    <row r="26" customFormat="false" ht="15" hidden="false" customHeight="false" outlineLevel="0" collapsed="false">
      <c r="A26" s="42" t="s">
        <v>1085</v>
      </c>
      <c r="B26" s="42" t="s">
        <v>1086</v>
      </c>
      <c r="C26" s="43"/>
      <c r="D26" s="43"/>
      <c r="E26" s="44"/>
      <c r="F26" s="45" t="str">
        <f aca="false">st_c6</f>
        <v>N.A.</v>
      </c>
    </row>
    <row r="27" customFormat="false" ht="15" hidden="false" customHeight="false" outlineLevel="0" collapsed="false">
      <c r="A27" s="41" t="s">
        <v>1087</v>
      </c>
      <c r="B27" s="10"/>
      <c r="C27" s="10"/>
      <c r="D27" s="10"/>
      <c r="E27" s="10"/>
      <c r="F27" s="10"/>
    </row>
    <row r="28" customFormat="false" ht="15" hidden="false" customHeight="false" outlineLevel="0" collapsed="false">
      <c r="A28" s="42" t="s">
        <v>1088</v>
      </c>
      <c r="B28" s="42" t="s">
        <v>1089</v>
      </c>
      <c r="C28" s="43" t="n">
        <f aca="false">an_ved</f>
        <v>4.60845092862162</v>
      </c>
      <c r="D28" s="43" t="n">
        <f aca="false">an_vrd</f>
        <v>6.73065334991949</v>
      </c>
      <c r="E28" s="44" t="n">
        <f aca="false">an_rv</f>
        <v>0.68469592609115</v>
      </c>
      <c r="F28" s="45" t="str">
        <f aca="false">an_ev</f>
        <v>VERIFICATA</v>
      </c>
    </row>
    <row r="29" customFormat="false" ht="15" hidden="false" customHeight="false" outlineLevel="0" collapsed="false">
      <c r="A29" s="42" t="s">
        <v>1090</v>
      </c>
      <c r="B29" s="42" t="s">
        <v>1089</v>
      </c>
      <c r="C29" s="43" t="n">
        <f aca="false">an_ned</f>
        <v>0.460845092862162</v>
      </c>
      <c r="D29" s="43" t="n">
        <f aca="false">an_nrd</f>
        <v>2.80443889579979</v>
      </c>
      <c r="E29" s="44" t="n">
        <f aca="false">an_rn</f>
        <v>0.164327022261876</v>
      </c>
      <c r="F29" s="45" t="str">
        <f aca="false">an_en</f>
        <v>VERIFICATA</v>
      </c>
    </row>
    <row r="30" customFormat="false" ht="15" hidden="false" customHeight="false" outlineLevel="0" collapsed="false">
      <c r="A30" s="42" t="s">
        <v>1091</v>
      </c>
      <c r="B30" s="42" t="s">
        <v>1092</v>
      </c>
      <c r="C30" s="43"/>
      <c r="D30" s="43"/>
      <c r="E30" s="44" t="n">
        <f aca="false">an_is</f>
        <v>0.153243807329102</v>
      </c>
      <c r="F30" s="45" t="str">
        <f aca="false">an_eis</f>
        <v>VERIFICATA</v>
      </c>
    </row>
    <row r="31" customFormat="false" ht="15" hidden="false" customHeight="false" outlineLevel="0" collapsed="false">
      <c r="A31" s="42" t="s">
        <v>1093</v>
      </c>
      <c r="B31" s="42" t="s">
        <v>1094</v>
      </c>
      <c r="C31" s="43"/>
      <c r="D31" s="43"/>
      <c r="E31" s="44" t="n">
        <f aca="false">an_ic</f>
        <v>0.633174609431032</v>
      </c>
      <c r="F31" s="45" t="str">
        <f aca="false">an_eic</f>
        <v>VERIFICATA</v>
      </c>
    </row>
    <row r="32" customFormat="false" ht="15" hidden="false" customHeight="false" outlineLevel="0" collapsed="false">
      <c r="A32" s="42" t="s">
        <v>1095</v>
      </c>
      <c r="B32" s="42" t="s">
        <v>1096</v>
      </c>
      <c r="C32" s="43"/>
      <c r="D32" s="43"/>
      <c r="E32" s="44" t="n">
        <f aca="false">an_eta</f>
        <v>0.135744269242074</v>
      </c>
      <c r="F32" s="45" t="str">
        <f aca="false">an_ee</f>
        <v>N.A.</v>
      </c>
    </row>
    <row r="33" customFormat="false" ht="15" hidden="false" customHeight="false" outlineLevel="0" collapsed="false">
      <c r="A33" s="42" t="s">
        <v>1097</v>
      </c>
      <c r="B33" s="42" t="s">
        <v>74</v>
      </c>
      <c r="C33" s="43" t="n">
        <f aca="false">an_s</f>
        <v>150</v>
      </c>
      <c r="D33" s="43" t="n">
        <f aca="false">an_smax</f>
        <v>219.075350508265</v>
      </c>
      <c r="E33" s="44"/>
      <c r="F33" s="45" t="str">
        <f aca="false">an_g7</f>
        <v>OK</v>
      </c>
    </row>
    <row r="34" customFormat="false" ht="15" hidden="false" customHeight="false" outlineLevel="0" collapsed="false">
      <c r="A34" s="42" t="s">
        <v>1098</v>
      </c>
      <c r="B34" s="42" t="s">
        <v>1099</v>
      </c>
      <c r="C34" s="43" t="n">
        <f aca="false">an_cmin</f>
        <v>80</v>
      </c>
      <c r="D34" s="43" t="n">
        <f aca="false">an_c</f>
        <v>90</v>
      </c>
      <c r="E34" s="44"/>
      <c r="F34" s="45" t="str">
        <f aca="false">an_g1</f>
        <v>OK</v>
      </c>
    </row>
    <row r="35" customFormat="false" ht="15" hidden="false" customHeight="false" outlineLevel="0" collapsed="false">
      <c r="A35" s="41" t="s">
        <v>1100</v>
      </c>
      <c r="B35" s="10"/>
      <c r="C35" s="10"/>
      <c r="D35" s="10"/>
      <c r="E35" s="10"/>
      <c r="F35" s="10"/>
    </row>
    <row r="36" customFormat="false" ht="15" hidden="false" customHeight="false" outlineLevel="0" collapsed="false">
      <c r="A36" s="42" t="s">
        <v>1101</v>
      </c>
      <c r="B36" s="42" t="s">
        <v>1102</v>
      </c>
      <c r="C36" s="43"/>
      <c r="D36" s="43"/>
      <c r="E36" s="44" t="n">
        <f aca="false">nd_rmax</f>
        <v>0.667048493520899</v>
      </c>
      <c r="F36" s="45" t="str">
        <f aca="false">nd_es</f>
        <v>VERIFICATA</v>
      </c>
    </row>
    <row r="37" customFormat="false" ht="15" hidden="false" customHeight="false" outlineLevel="0" collapsed="false">
      <c r="A37" s="42" t="s">
        <v>1103</v>
      </c>
      <c r="B37" s="42" t="s">
        <v>1099</v>
      </c>
      <c r="C37" s="43" t="n">
        <f aca="false">nd_cmin</f>
        <v>80</v>
      </c>
      <c r="D37" s="43" t="n">
        <f aca="false">nd_cx</f>
        <v>100</v>
      </c>
      <c r="E37" s="44"/>
      <c r="F37" s="45" t="str">
        <f aca="false">nd_g1</f>
        <v>OK</v>
      </c>
    </row>
    <row r="38" customFormat="false" ht="15" hidden="false" customHeight="false" outlineLevel="0" collapsed="false">
      <c r="A38" s="42" t="s">
        <v>1104</v>
      </c>
      <c r="B38" s="42" t="s">
        <v>1105</v>
      </c>
      <c r="C38" s="43"/>
      <c r="D38" s="43"/>
      <c r="E38" s="44"/>
      <c r="F38" s="45" t="str">
        <f aca="false">nd_g4</f>
        <v>OK</v>
      </c>
    </row>
    <row r="40" customFormat="false" ht="15" hidden="false" customHeight="false" outlineLevel="0" collapsed="false">
      <c r="A40" s="46" t="s">
        <v>1106</v>
      </c>
      <c r="F40" s="46" t="str">
        <f aca="false">IF(COUNTIF(F6:F38,"NON*")&gt;0,"NON VERIFICATA",IF(COUNTIF(F6:F38,"ATTENZIONE*")&gt;0,"ATTENZIONE","VERIFICATA"))</f>
        <v>VERIFICATA</v>
      </c>
    </row>
    <row r="41" customFormat="false" ht="15" hidden="false" customHeight="false" outlineLevel="0" collapsed="false">
      <c r="A41" s="47" t="s">
        <v>1107</v>
      </c>
    </row>
  </sheetData>
  <mergeCells count="3">
    <mergeCell ref="A1:F1"/>
    <mergeCell ref="A2:F2"/>
    <mergeCell ref="A3:F3"/>
  </mergeCells>
  <conditionalFormatting sqref="F6:F39">
    <cfRule type="expression" priority="2" aboveAverage="0" equalAverage="0" bottom="0" percent="0" rank="0" text="" dxfId="0">
      <formula>ISNUMBER(SEARCH("NON",F6))</formula>
    </cfRule>
    <cfRule type="expression" priority="3" aboveAverage="0" equalAverage="0" bottom="0" percent="0" rank="0" text="" dxfId="1">
      <formula>ISNUMBER(SEARCH("N.A.",F6))</formula>
    </cfRule>
    <cfRule type="expression" priority="4" aboveAverage="0" equalAverage="0" bottom="0" percent="0" rank="0" text="" dxfId="2">
      <formula>OR(ISNUMBER(SEARCH("VERIFICATA",F6)),F6="OK")</formula>
    </cfRule>
    <cfRule type="expression" priority="5" aboveAverage="0" equalAverage="0" bottom="0" percent="0" rank="0" text="" dxfId="3">
      <formula>ISNUMBER(SEARCH("ATTENZIONE",F6))</formula>
    </cfRule>
  </conditionalFormatting>
  <conditionalFormatting sqref="F40">
    <cfRule type="expression" priority="6" aboveAverage="0" equalAverage="0" bottom="0" percent="0" rank="0" text="" dxfId="0">
      <formula>ISNUMBER(SEARCH("NON",F40))</formula>
    </cfRule>
    <cfRule type="expression" priority="7" aboveAverage="0" equalAverage="0" bottom="0" percent="0" rank="0" text="" dxfId="1">
      <formula>ISNUMBER(SEARCH("N.A.",F40))</formula>
    </cfRule>
    <cfRule type="expression" priority="8" aboveAverage="0" equalAverage="0" bottom="0" percent="0" rank="0" text="" dxfId="2">
      <formula>OR(ISNUMBER(SEARCH("VERIFICATA",F40)),F40="OK")</formula>
    </cfRule>
    <cfRule type="expression" priority="9" aboveAverage="0" equalAverage="0" bottom="0" percent="0" rank="0" text="" dxfId="3">
      <formula>ISNUMBER(SEARCH("ATTENZIONE",F40))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4"/>
    <col collapsed="false" customWidth="true" hidden="false" outlineLevel="0" max="14" min="12" style="0" width="12"/>
    <col collapsed="false" customWidth="true" hidden="false" outlineLevel="0" max="15" min="15" style="0" width="10"/>
  </cols>
  <sheetData>
    <row r="1" customFormat="false" ht="15" hidden="false" customHeight="false" outlineLevel="0" collapsed="false">
      <c r="A1" s="48" t="s">
        <v>1108</v>
      </c>
    </row>
    <row r="3" customFormat="false" ht="15" hidden="false" customHeight="false" outlineLevel="0" collapsed="false">
      <c r="A3" s="49" t="s">
        <v>1109</v>
      </c>
      <c r="E3" s="49" t="s">
        <v>1110</v>
      </c>
      <c r="I3" s="49" t="s">
        <v>1111</v>
      </c>
      <c r="M3" s="49" t="s">
        <v>1112</v>
      </c>
    </row>
    <row r="4" customFormat="false" ht="15" hidden="false" customHeight="false" outlineLevel="0" collapsed="false">
      <c r="A4" s="47" t="s">
        <v>1113</v>
      </c>
      <c r="E4" s="47" t="s">
        <v>1114</v>
      </c>
      <c r="I4" s="47" t="s">
        <v>1115</v>
      </c>
      <c r="M4" s="47" t="s">
        <v>1116</v>
      </c>
    </row>
    <row r="5" customFormat="false" ht="15" hidden="false" customHeight="false" outlineLevel="0" collapsed="false">
      <c r="A5" s="11" t="s">
        <v>1117</v>
      </c>
      <c r="B5" s="11" t="s">
        <v>206</v>
      </c>
      <c r="C5" s="11" t="s">
        <v>1118</v>
      </c>
      <c r="E5" s="11" t="s">
        <v>1119</v>
      </c>
      <c r="F5" s="11" t="s">
        <v>184</v>
      </c>
      <c r="G5" s="11" t="s">
        <v>188</v>
      </c>
      <c r="I5" s="11" t="s">
        <v>1120</v>
      </c>
      <c r="J5" s="11" t="s">
        <v>1121</v>
      </c>
      <c r="K5" s="11" t="s">
        <v>1122</v>
      </c>
      <c r="M5" s="11" t="s">
        <v>1117</v>
      </c>
      <c r="N5" s="11" t="s">
        <v>811</v>
      </c>
      <c r="O5" s="11" t="s">
        <v>184</v>
      </c>
    </row>
    <row r="6" customFormat="false" ht="15" hidden="false" customHeight="false" outlineLevel="0" collapsed="false">
      <c r="A6" s="42" t="s">
        <v>1123</v>
      </c>
      <c r="B6" s="42" t="n">
        <v>16</v>
      </c>
      <c r="C6" s="42" t="n">
        <v>20</v>
      </c>
      <c r="E6" s="42" t="s">
        <v>1124</v>
      </c>
      <c r="F6" s="42" t="n">
        <v>235</v>
      </c>
      <c r="G6" s="42" t="n">
        <v>360</v>
      </c>
      <c r="I6" s="42" t="s">
        <v>1125</v>
      </c>
      <c r="J6" s="42" t="n">
        <v>10</v>
      </c>
      <c r="K6" s="42" t="n">
        <v>58</v>
      </c>
      <c r="M6" s="42" t="s">
        <v>1126</v>
      </c>
      <c r="N6" s="42" t="n">
        <v>400</v>
      </c>
      <c r="O6" s="42" t="n">
        <v>240</v>
      </c>
    </row>
    <row r="7" customFormat="false" ht="15" hidden="false" customHeight="false" outlineLevel="0" collapsed="false">
      <c r="A7" s="42" t="s">
        <v>1127</v>
      </c>
      <c r="B7" s="42" t="n">
        <v>20</v>
      </c>
      <c r="C7" s="42" t="n">
        <v>25</v>
      </c>
      <c r="E7" s="42" t="s">
        <v>181</v>
      </c>
      <c r="F7" s="42" t="n">
        <v>275</v>
      </c>
      <c r="G7" s="42" t="n">
        <v>430</v>
      </c>
      <c r="I7" s="42" t="s">
        <v>1128</v>
      </c>
      <c r="J7" s="42" t="n">
        <v>12</v>
      </c>
      <c r="K7" s="42" t="n">
        <v>84.3</v>
      </c>
      <c r="M7" s="42" t="s">
        <v>1129</v>
      </c>
      <c r="N7" s="42" t="n">
        <v>500</v>
      </c>
      <c r="O7" s="42" t="n">
        <v>400</v>
      </c>
    </row>
    <row r="8" customFormat="false" ht="15" hidden="false" customHeight="false" outlineLevel="0" collapsed="false">
      <c r="A8" s="42" t="s">
        <v>356</v>
      </c>
      <c r="B8" s="42" t="n">
        <v>25</v>
      </c>
      <c r="C8" s="42" t="n">
        <v>30</v>
      </c>
      <c r="E8" s="42" t="s">
        <v>1130</v>
      </c>
      <c r="F8" s="42" t="n">
        <v>355</v>
      </c>
      <c r="G8" s="42" t="n">
        <v>510</v>
      </c>
      <c r="I8" s="42" t="s">
        <v>732</v>
      </c>
      <c r="J8" s="42" t="n">
        <v>16</v>
      </c>
      <c r="K8" s="42" t="n">
        <v>157</v>
      </c>
      <c r="M8" s="42" t="s">
        <v>735</v>
      </c>
      <c r="N8" s="42" t="n">
        <v>800</v>
      </c>
      <c r="O8" s="42" t="n">
        <v>640</v>
      </c>
    </row>
    <row r="9" customFormat="false" ht="15" hidden="false" customHeight="false" outlineLevel="0" collapsed="false">
      <c r="A9" s="42" t="s">
        <v>1131</v>
      </c>
      <c r="B9" s="42" t="n">
        <v>28</v>
      </c>
      <c r="C9" s="42" t="n">
        <v>35</v>
      </c>
      <c r="E9" s="42" t="s">
        <v>1132</v>
      </c>
      <c r="F9" s="42" t="n">
        <v>420</v>
      </c>
      <c r="G9" s="42" t="n">
        <v>520</v>
      </c>
      <c r="I9" s="42" t="s">
        <v>1133</v>
      </c>
      <c r="J9" s="42" t="n">
        <v>20</v>
      </c>
      <c r="K9" s="42" t="n">
        <v>245</v>
      </c>
      <c r="M9" s="42" t="s">
        <v>1134</v>
      </c>
      <c r="N9" s="42" t="n">
        <v>1000</v>
      </c>
      <c r="O9" s="42" t="n">
        <v>900</v>
      </c>
    </row>
    <row r="10" customFormat="false" ht="15" hidden="false" customHeight="false" outlineLevel="0" collapsed="false">
      <c r="A10" s="42" t="s">
        <v>1135</v>
      </c>
      <c r="B10" s="42" t="n">
        <v>30</v>
      </c>
      <c r="C10" s="42" t="n">
        <v>37</v>
      </c>
      <c r="E10" s="42" t="s">
        <v>1136</v>
      </c>
      <c r="F10" s="42" t="n">
        <v>460</v>
      </c>
      <c r="G10" s="42" t="n">
        <v>540</v>
      </c>
      <c r="I10" s="42" t="s">
        <v>1137</v>
      </c>
      <c r="J10" s="42" t="n">
        <v>24</v>
      </c>
      <c r="K10" s="42" t="n">
        <v>353</v>
      </c>
      <c r="M10" s="42" t="s">
        <v>1138</v>
      </c>
      <c r="N10" s="42" t="n">
        <v>700</v>
      </c>
      <c r="O10" s="42" t="n">
        <v>450</v>
      </c>
    </row>
    <row r="11" customFormat="false" ht="15" hidden="false" customHeight="false" outlineLevel="0" collapsed="false">
      <c r="A11" s="42" t="s">
        <v>1139</v>
      </c>
      <c r="B11" s="42" t="n">
        <v>32</v>
      </c>
      <c r="C11" s="42" t="n">
        <v>40</v>
      </c>
      <c r="I11" s="42" t="s">
        <v>1140</v>
      </c>
      <c r="J11" s="42" t="n">
        <v>27</v>
      </c>
      <c r="K11" s="42" t="n">
        <v>459</v>
      </c>
      <c r="M11" s="42" t="s">
        <v>1141</v>
      </c>
      <c r="N11" s="42" t="n">
        <v>800</v>
      </c>
      <c r="O11" s="42" t="n">
        <v>600</v>
      </c>
    </row>
    <row r="12" customFormat="false" ht="15" hidden="false" customHeight="false" outlineLevel="0" collapsed="false">
      <c r="A12" s="42" t="s">
        <v>1142</v>
      </c>
      <c r="B12" s="42" t="n">
        <v>35</v>
      </c>
      <c r="C12" s="42" t="n">
        <v>45</v>
      </c>
      <c r="I12" s="42" t="s">
        <v>1143</v>
      </c>
      <c r="J12" s="42" t="n">
        <v>30</v>
      </c>
      <c r="K12" s="42" t="n">
        <v>561</v>
      </c>
    </row>
    <row r="13" customFormat="false" ht="15" hidden="false" customHeight="false" outlineLevel="0" collapsed="false">
      <c r="A13" s="42" t="s">
        <v>1144</v>
      </c>
      <c r="B13" s="42" t="n">
        <v>40</v>
      </c>
      <c r="C13" s="42" t="n">
        <v>50</v>
      </c>
    </row>
    <row r="14" customFormat="false" ht="15" hidden="false" customHeight="false" outlineLevel="0" collapsed="false">
      <c r="A14" s="42" t="s">
        <v>1145</v>
      </c>
      <c r="B14" s="42" t="n">
        <v>45</v>
      </c>
      <c r="C14" s="42" t="n">
        <v>55</v>
      </c>
    </row>
    <row r="15" customFormat="false" ht="15" hidden="false" customHeight="false" outlineLevel="0" collapsed="false">
      <c r="A15" s="42" t="s">
        <v>1146</v>
      </c>
      <c r="B15" s="42" t="n">
        <v>50</v>
      </c>
      <c r="C15" s="42" t="n">
        <v>60</v>
      </c>
    </row>
    <row r="18" customFormat="false" ht="15" hidden="false" customHeight="false" outlineLevel="0" collapsed="false">
      <c r="A18" s="49" t="s">
        <v>1147</v>
      </c>
      <c r="E18" s="49" t="s">
        <v>438</v>
      </c>
    </row>
    <row r="19" customFormat="false" ht="15" hidden="false" customHeight="false" outlineLevel="0" collapsed="false">
      <c r="A19" s="47" t="s">
        <v>1148</v>
      </c>
      <c r="E19" s="47" t="s">
        <v>1149</v>
      </c>
    </row>
    <row r="20" customFormat="false" ht="15" hidden="false" customHeight="false" outlineLevel="0" collapsed="false">
      <c r="A20" s="11" t="s">
        <v>1150</v>
      </c>
      <c r="B20" s="11" t="s">
        <v>1151</v>
      </c>
      <c r="C20" s="11" t="s">
        <v>1152</v>
      </c>
      <c r="E20" s="11" t="s">
        <v>1153</v>
      </c>
      <c r="F20" s="11" t="s">
        <v>439</v>
      </c>
    </row>
    <row r="21" customFormat="false" ht="15" hidden="false" customHeight="false" outlineLevel="0" collapsed="false">
      <c r="A21" s="42" t="s">
        <v>1154</v>
      </c>
      <c r="B21" s="42" t="n">
        <v>0.85</v>
      </c>
      <c r="C21" s="42" t="n">
        <v>0.75</v>
      </c>
      <c r="E21" s="42" t="s">
        <v>1155</v>
      </c>
      <c r="F21" s="42" t="n">
        <v>1.35</v>
      </c>
    </row>
    <row r="22" customFormat="false" ht="15" hidden="false" customHeight="false" outlineLevel="0" collapsed="false">
      <c r="A22" s="42" t="s">
        <v>1156</v>
      </c>
      <c r="B22" s="42" t="n">
        <v>1</v>
      </c>
      <c r="C22" s="42" t="n">
        <v>0.75</v>
      </c>
      <c r="E22" s="42" t="s">
        <v>436</v>
      </c>
      <c r="F22" s="42" t="n">
        <v>1.2</v>
      </c>
    </row>
    <row r="23" customFormat="false" ht="15" hidden="false" customHeight="false" outlineLevel="0" collapsed="false">
      <c r="A23" s="42" t="s">
        <v>1157</v>
      </c>
      <c r="B23" s="42" t="n">
        <v>0.7</v>
      </c>
      <c r="C23" s="42" t="n">
        <v>0.6</v>
      </c>
      <c r="E23" s="42" t="s">
        <v>1158</v>
      </c>
      <c r="F23" s="42" t="n">
        <v>1</v>
      </c>
    </row>
    <row r="24" customFormat="false" ht="15" hidden="false" customHeight="false" outlineLevel="0" collapsed="false">
      <c r="A24" s="42" t="s">
        <v>1159</v>
      </c>
      <c r="B24" s="42" t="n">
        <v>0.8</v>
      </c>
      <c r="C24" s="42" t="n"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2026-10-12T08:32:42Z</dcterms:created>
  <dc:creator>openpyxl</dc:creator>
  <dc:description/>
  <dc:language>en-US</dc:language>
  <cp:lastModifiedBy/>
  <dcterms:modified xsi:type="dcterms:W3CDTF">2026-10-12T08:32:42Z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